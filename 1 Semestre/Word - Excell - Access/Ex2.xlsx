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filterPrivacy="1" codeName="EstaPastaDeTrabalho" hidePivotFieldList="1"/>
  <xr:revisionPtr revIDLastSave="0" documentId="13_ncr:1_{BED980E5-9331-4172-962A-821F0C2356D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.A Planejamento" sheetId="4" r:id="rId1"/>
    <sheet name="1.B. GUT" sheetId="10" r:id="rId2"/>
    <sheet name="1.C.VendasMes" sheetId="3" r:id="rId3"/>
    <sheet name="1.C.Clientes" sheetId="1" r:id="rId4"/>
    <sheet name="1.C.Listas" sheetId="2" r:id="rId5"/>
    <sheet name="2.CPF" sheetId="5" r:id="rId6"/>
    <sheet name="3.CNPJ" sheetId="6" r:id="rId7"/>
    <sheet name="4" sheetId="7" r:id="rId8"/>
    <sheet name="5.RG" sheetId="8" r:id="rId9"/>
    <sheet name="6.TITULO" sheetId="9" r:id="rId10"/>
    <sheet name="7. CARTAO" sheetId="11" r:id="rId11"/>
    <sheet name="8. PROCESSO" sheetId="12" r:id="rId12"/>
    <sheet name="9. DADOS" sheetId="14" r:id="rId13"/>
  </sheets>
  <definedNames>
    <definedName name="Lojas">'1.C.Listas'!$A$6:$A$8</definedName>
    <definedName name="Produtos">'1.C.Listas'!$A$11:$A$13</definedName>
    <definedName name="Sexo">'1.C.Listas'!$A$2:$A$3</definedName>
  </definedNames>
  <calcPr calcId="181029"/>
  <pivotCaches>
    <pivotCache cacheId="2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" i="7" l="1"/>
  <c r="L3" i="7" s="1"/>
  <c r="H3" i="7"/>
  <c r="B18" i="3" l="1"/>
  <c r="D18" i="3"/>
  <c r="E18" i="3" s="1"/>
  <c r="F18" i="3"/>
  <c r="M3" i="3"/>
  <c r="J5" i="12"/>
  <c r="K5" i="12"/>
  <c r="L4" i="12" a="1"/>
  <c r="L4" i="12" s="1"/>
  <c r="L5" i="12" s="1"/>
  <c r="C4" i="12" a="1"/>
  <c r="C4" i="12" s="1"/>
  <c r="C5" i="12" s="1"/>
  <c r="A8" i="12"/>
  <c r="A8" i="11"/>
  <c r="R6" i="11"/>
  <c r="C4" i="11" a="1"/>
  <c r="C4" i="11" s="1"/>
  <c r="C6" i="11" s="1"/>
  <c r="A8" i="9"/>
  <c r="C4" i="9" a="1"/>
  <c r="C4" i="9" s="1"/>
  <c r="C4" i="8" a="1"/>
  <c r="C4" i="8" s="1"/>
  <c r="C6" i="8" s="1"/>
  <c r="C4" i="6" a="1"/>
  <c r="C4" i="5" a="1"/>
  <c r="C4" i="5"/>
  <c r="C7" i="5" s="1"/>
  <c r="K4" i="5"/>
  <c r="K7" i="5" s="1"/>
  <c r="B2" i="4"/>
  <c r="B3" i="4"/>
  <c r="C5" i="4"/>
  <c r="B4" i="4" s="1"/>
  <c r="D5" i="4"/>
  <c r="E5" i="4"/>
  <c r="F5" i="4"/>
  <c r="G5" i="4"/>
  <c r="G13" i="4" s="1"/>
  <c r="H5" i="4"/>
  <c r="I5" i="4"/>
  <c r="J5" i="4"/>
  <c r="K5" i="4"/>
  <c r="L5" i="4"/>
  <c r="M5" i="4"/>
  <c r="N5" i="4"/>
  <c r="C7" i="4"/>
  <c r="C12" i="4" s="1"/>
  <c r="C13" i="4" s="1"/>
  <c r="C14" i="4" s="1"/>
  <c r="D7" i="4"/>
  <c r="E7" i="4"/>
  <c r="F7" i="4"/>
  <c r="G7" i="4"/>
  <c r="H7" i="4"/>
  <c r="I7" i="4"/>
  <c r="J7" i="4"/>
  <c r="K7" i="4"/>
  <c r="L7" i="4"/>
  <c r="M7" i="4"/>
  <c r="N7" i="4"/>
  <c r="C8" i="4"/>
  <c r="D8" i="4"/>
  <c r="E8" i="4"/>
  <c r="F8" i="4"/>
  <c r="G8" i="4"/>
  <c r="H8" i="4"/>
  <c r="I8" i="4"/>
  <c r="J8" i="4"/>
  <c r="K8" i="4"/>
  <c r="L8" i="4"/>
  <c r="M8" i="4"/>
  <c r="N8" i="4"/>
  <c r="C9" i="4"/>
  <c r="D9" i="4"/>
  <c r="E9" i="4"/>
  <c r="F9" i="4"/>
  <c r="G9" i="4"/>
  <c r="H9" i="4"/>
  <c r="I9" i="4"/>
  <c r="J9" i="4"/>
  <c r="K9" i="4"/>
  <c r="L9" i="4"/>
  <c r="M9" i="4"/>
  <c r="N9" i="4"/>
  <c r="C10" i="4"/>
  <c r="D10" i="4"/>
  <c r="E10" i="4"/>
  <c r="F10" i="4"/>
  <c r="G10" i="4"/>
  <c r="H10" i="4"/>
  <c r="I10" i="4"/>
  <c r="J10" i="4"/>
  <c r="K10" i="4"/>
  <c r="L10" i="4"/>
  <c r="M10" i="4"/>
  <c r="N10" i="4"/>
  <c r="C11" i="4"/>
  <c r="D11" i="4"/>
  <c r="E11" i="4"/>
  <c r="F11" i="4"/>
  <c r="G11" i="4"/>
  <c r="H11" i="4"/>
  <c r="I11" i="4"/>
  <c r="J11" i="4"/>
  <c r="K11" i="4"/>
  <c r="L11" i="4"/>
  <c r="M11" i="4"/>
  <c r="N11" i="4"/>
  <c r="B12" i="4"/>
  <c r="E12" i="4"/>
  <c r="F12" i="4"/>
  <c r="F13" i="4" s="1"/>
  <c r="G12" i="4"/>
  <c r="I12" i="4"/>
  <c r="J12" i="4"/>
  <c r="K12" i="4"/>
  <c r="K13" i="4" s="1"/>
  <c r="M12" i="4"/>
  <c r="N12" i="4"/>
  <c r="E13" i="4"/>
  <c r="I13" i="4"/>
  <c r="J13" i="4"/>
  <c r="M13" i="4"/>
  <c r="N13" i="4"/>
  <c r="S4" i="12" l="1"/>
  <c r="S5" i="12" s="1"/>
  <c r="R4" i="12"/>
  <c r="R5" i="12" s="1"/>
  <c r="U4" i="12"/>
  <c r="U5" i="12" s="1"/>
  <c r="Q4" i="12"/>
  <c r="Q5" i="12" s="1"/>
  <c r="M4" i="12"/>
  <c r="M5" i="12" s="1"/>
  <c r="O4" i="12"/>
  <c r="V4" i="12"/>
  <c r="V5" i="12" s="1"/>
  <c r="N4" i="12"/>
  <c r="N5" i="12" s="1"/>
  <c r="T4" i="12"/>
  <c r="T5" i="12" s="1"/>
  <c r="P4" i="12"/>
  <c r="P5" i="12" s="1"/>
  <c r="I4" i="12"/>
  <c r="E4" i="12"/>
  <c r="E5" i="12" s="1"/>
  <c r="F4" i="12"/>
  <c r="F5" i="12" s="1"/>
  <c r="H4" i="12"/>
  <c r="H5" i="12" s="1"/>
  <c r="D4" i="12"/>
  <c r="D5" i="12" s="1"/>
  <c r="G4" i="12"/>
  <c r="G5" i="12" s="1"/>
  <c r="F4" i="11"/>
  <c r="F6" i="11" s="1"/>
  <c r="I4" i="11"/>
  <c r="I6" i="11" s="1"/>
  <c r="P4" i="11"/>
  <c r="P6" i="11" s="1"/>
  <c r="L4" i="11"/>
  <c r="L6" i="11" s="1"/>
  <c r="H4" i="11"/>
  <c r="H6" i="11" s="1"/>
  <c r="D4" i="11"/>
  <c r="D6" i="11" s="1"/>
  <c r="N4" i="11"/>
  <c r="N6" i="11" s="1"/>
  <c r="J4" i="11"/>
  <c r="J6" i="11" s="1"/>
  <c r="Q4" i="11"/>
  <c r="Q6" i="11" s="1"/>
  <c r="M4" i="11"/>
  <c r="M6" i="11" s="1"/>
  <c r="E4" i="11"/>
  <c r="E6" i="11" s="1"/>
  <c r="O4" i="11"/>
  <c r="O6" i="11" s="1"/>
  <c r="K4" i="11"/>
  <c r="K6" i="11" s="1"/>
  <c r="G4" i="11"/>
  <c r="G6" i="11" s="1"/>
  <c r="C6" i="9"/>
  <c r="M4" i="9"/>
  <c r="M7" i="9" s="1"/>
  <c r="I4" i="9"/>
  <c r="E4" i="9"/>
  <c r="N4" i="9"/>
  <c r="J4" i="9"/>
  <c r="J6" i="9" s="1"/>
  <c r="F4" i="9"/>
  <c r="F6" i="9" s="1"/>
  <c r="L4" i="9"/>
  <c r="L7" i="9" s="1"/>
  <c r="H4" i="9"/>
  <c r="H6" i="9" s="1"/>
  <c r="D4" i="9"/>
  <c r="D6" i="9" s="1"/>
  <c r="K4" i="9"/>
  <c r="K7" i="9" s="1"/>
  <c r="G4" i="9"/>
  <c r="G6" i="9" s="1"/>
  <c r="G4" i="8"/>
  <c r="G6" i="8" s="1"/>
  <c r="J4" i="8"/>
  <c r="J6" i="8" s="1"/>
  <c r="C4" i="6"/>
  <c r="G4" i="6"/>
  <c r="K4" i="6"/>
  <c r="O4" i="6"/>
  <c r="D4" i="6"/>
  <c r="H4" i="6"/>
  <c r="L4" i="6"/>
  <c r="P4" i="6"/>
  <c r="D4" i="5"/>
  <c r="H4" i="5"/>
  <c r="L4" i="5"/>
  <c r="E4" i="5"/>
  <c r="I4" i="5"/>
  <c r="M4" i="5"/>
  <c r="I4" i="6"/>
  <c r="F4" i="8"/>
  <c r="F6" i="8" s="1"/>
  <c r="L12" i="4"/>
  <c r="H12" i="4"/>
  <c r="H13" i="4" s="1"/>
  <c r="D12" i="4"/>
  <c r="D13" i="4" s="1"/>
  <c r="D14" i="4" s="1"/>
  <c r="E14" i="4" s="1"/>
  <c r="F14" i="4" s="1"/>
  <c r="G14" i="4" s="1"/>
  <c r="H14" i="4" s="1"/>
  <c r="I14" i="4" s="1"/>
  <c r="J14" i="4" s="1"/>
  <c r="K14" i="4" s="1"/>
  <c r="L14" i="4" s="1"/>
  <c r="M14" i="4" s="1"/>
  <c r="N14" i="4" s="1"/>
  <c r="L13" i="4"/>
  <c r="K6" i="5"/>
  <c r="C6" i="5"/>
  <c r="G4" i="5"/>
  <c r="N4" i="6"/>
  <c r="F4" i="6"/>
  <c r="J4" i="6"/>
  <c r="B5" i="4"/>
  <c r="J4" i="5"/>
  <c r="F4" i="5"/>
  <c r="M4" i="6"/>
  <c r="E4" i="6"/>
  <c r="D4" i="8"/>
  <c r="D6" i="8" s="1"/>
  <c r="H4" i="8"/>
  <c r="H6" i="8" s="1"/>
  <c r="E4" i="8"/>
  <c r="E6" i="8" s="1"/>
  <c r="L6" i="8" s="1"/>
  <c r="M6" i="8" s="1"/>
  <c r="K4" i="8" s="1"/>
  <c r="A5" i="8" s="1"/>
  <c r="I4" i="8"/>
  <c r="I6" i="8" s="1"/>
  <c r="B17" i="3"/>
  <c r="D17" i="3"/>
  <c r="E17" i="3" s="1"/>
  <c r="F17" i="3"/>
  <c r="R1" i="12" l="1"/>
  <c r="O5" i="12"/>
  <c r="I5" i="12"/>
  <c r="W5" i="12" s="1"/>
  <c r="Z2" i="12"/>
  <c r="A5" i="12" s="1"/>
  <c r="N10" i="11"/>
  <c r="P7" i="9"/>
  <c r="E6" i="9"/>
  <c r="I6" i="9"/>
  <c r="E6" i="5"/>
  <c r="E7" i="5"/>
  <c r="O7" i="6"/>
  <c r="F6" i="5"/>
  <c r="F7" i="5"/>
  <c r="F7" i="6"/>
  <c r="F6" i="6"/>
  <c r="J6" i="5"/>
  <c r="J7" i="5"/>
  <c r="H6" i="6"/>
  <c r="H7" i="6"/>
  <c r="M7" i="6"/>
  <c r="M6" i="6"/>
  <c r="I7" i="6"/>
  <c r="I6" i="6"/>
  <c r="L6" i="6"/>
  <c r="L7" i="6"/>
  <c r="K6" i="6"/>
  <c r="K7" i="6"/>
  <c r="J7" i="6"/>
  <c r="J6" i="6"/>
  <c r="N7" i="6"/>
  <c r="N6" i="6"/>
  <c r="H6" i="5"/>
  <c r="H7" i="5"/>
  <c r="G7" i="6"/>
  <c r="G6" i="6"/>
  <c r="E7" i="6"/>
  <c r="E6" i="6"/>
  <c r="G7" i="5"/>
  <c r="G6" i="5"/>
  <c r="I6" i="5"/>
  <c r="I7" i="5"/>
  <c r="D6" i="5"/>
  <c r="N6" i="5" s="1"/>
  <c r="O6" i="5" s="1"/>
  <c r="P6" i="5" s="1"/>
  <c r="D7" i="5"/>
  <c r="D6" i="6"/>
  <c r="D7" i="6"/>
  <c r="C6" i="6"/>
  <c r="C7" i="6"/>
  <c r="P7" i="6" s="1"/>
  <c r="Q7" i="6" s="1"/>
  <c r="R7" i="6" s="1"/>
  <c r="B16" i="3"/>
  <c r="D16" i="3"/>
  <c r="E16" i="3" s="1"/>
  <c r="F16" i="3"/>
  <c r="B15" i="3"/>
  <c r="D15" i="3"/>
  <c r="E15" i="3" s="1"/>
  <c r="F15" i="3"/>
  <c r="B14" i="3"/>
  <c r="D14" i="3"/>
  <c r="E14" i="3" s="1"/>
  <c r="F14" i="3"/>
  <c r="B13" i="3"/>
  <c r="D13" i="3"/>
  <c r="E13" i="3" s="1"/>
  <c r="F13" i="3"/>
  <c r="R2" i="12" l="1"/>
  <c r="R3" i="12" s="1"/>
  <c r="P6" i="9"/>
  <c r="Q6" i="9" s="1"/>
  <c r="R6" i="9" s="1"/>
  <c r="L7" i="5"/>
  <c r="Q6" i="5"/>
  <c r="A5" i="5" s="1"/>
  <c r="Q7" i="9"/>
  <c r="R7" i="9" s="1"/>
  <c r="N7" i="5"/>
  <c r="O7" i="5" s="1"/>
  <c r="P7" i="5" s="1"/>
  <c r="Q7" i="5" s="1"/>
  <c r="P6" i="6"/>
  <c r="Q6" i="6" s="1"/>
  <c r="R6" i="6" s="1"/>
  <c r="A5" i="6" s="1"/>
  <c r="B12" i="3"/>
  <c r="D12" i="3"/>
  <c r="E12" i="3" s="1"/>
  <c r="F12" i="3"/>
  <c r="N3" i="3"/>
  <c r="O3" i="3"/>
  <c r="N4" i="3"/>
  <c r="O4" i="3"/>
  <c r="O5" i="3"/>
  <c r="M5" i="3"/>
  <c r="M4" i="3"/>
  <c r="F2" i="3"/>
  <c r="B11" i="3"/>
  <c r="D11" i="3"/>
  <c r="E11" i="3" s="1"/>
  <c r="F11" i="3"/>
  <c r="B10" i="3"/>
  <c r="D10" i="3"/>
  <c r="E10" i="3" s="1"/>
  <c r="F10" i="3"/>
  <c r="B9" i="3"/>
  <c r="D9" i="3"/>
  <c r="E9" i="3" s="1"/>
  <c r="F9" i="3"/>
  <c r="B8" i="3"/>
  <c r="D8" i="3"/>
  <c r="E8" i="3" s="1"/>
  <c r="F8" i="3"/>
  <c r="B7" i="3"/>
  <c r="D7" i="3"/>
  <c r="E7" i="3" s="1"/>
  <c r="F7" i="3"/>
  <c r="B6" i="3"/>
  <c r="D6" i="3"/>
  <c r="E6" i="3" s="1"/>
  <c r="F6" i="3"/>
  <c r="F3" i="3"/>
  <c r="F4" i="3"/>
  <c r="F5" i="3"/>
  <c r="D2" i="3"/>
  <c r="E2" i="3" s="1"/>
  <c r="D3" i="3"/>
  <c r="E3" i="3" s="1"/>
  <c r="D4" i="3"/>
  <c r="E4" i="3" s="1"/>
  <c r="D5" i="3"/>
  <c r="E5" i="3" s="1"/>
  <c r="B2" i="3"/>
  <c r="B3" i="3"/>
  <c r="B4" i="3"/>
  <c r="B5" i="3"/>
  <c r="W2" i="12" l="1"/>
  <c r="A5" i="9"/>
  <c r="E8" i="1"/>
  <c r="E9" i="1"/>
  <c r="E7" i="1"/>
  <c r="E2" i="1"/>
  <c r="E4" i="1"/>
  <c r="E3" i="1"/>
  <c r="E5" i="1"/>
  <c r="E6" i="1"/>
  <c r="M7" i="3"/>
  <c r="N7" i="3"/>
  <c r="N5" i="3"/>
  <c r="O6" i="3"/>
  <c r="N6" i="3"/>
  <c r="O7" i="3"/>
  <c r="M6" i="3"/>
  <c r="O10" i="11"/>
  <c r="R4" i="11" l="1"/>
  <c r="P10" i="11" s="1"/>
  <c r="A5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9566D1-4559-4FFC-831B-B6BE29C0ABB1}" keepAlive="1" name="Consulta - TabControleClasse" description="Conexão com a consulta 'TabControleClasse' na pasta de trabalho." type="5" refreshedVersion="0" background="1">
    <dbPr connection="Provider=Microsoft.Mashup.OleDb.1;Data Source=$Workbook$;Location=TabControleClasse;Extended Properties=&quot;&quot;" command="SELECT * FROM [TabControleClasse]"/>
  </connection>
  <connection id="2" xr16:uid="{C5F157F5-51B9-49A0-B461-0C00EDD28E49}" keepAlive="1" name="Consulta - TabEmissora" description="Conexão com a consulta 'TabEmissora' na pasta de trabalho." type="5" refreshedVersion="0" background="1">
    <dbPr connection="Provider=Microsoft.Mashup.OleDb.1;Data Source=$Workbook$;Location=TabEmissora;Extended Properties=&quot;&quot;" command="SELECT * FROM [TabEmissora]"/>
  </connection>
</connections>
</file>

<file path=xl/sharedStrings.xml><?xml version="1.0" encoding="utf-8"?>
<sst xmlns="http://schemas.openxmlformats.org/spreadsheetml/2006/main" count="222" uniqueCount="142">
  <si>
    <t>CodigoCli</t>
  </si>
  <si>
    <t>Nome</t>
  </si>
  <si>
    <t>Idade</t>
  </si>
  <si>
    <t>Sexo</t>
  </si>
  <si>
    <t>001</t>
  </si>
  <si>
    <t>Ayrton</t>
  </si>
  <si>
    <t>M</t>
  </si>
  <si>
    <t>Marta</t>
  </si>
  <si>
    <t>F</t>
  </si>
  <si>
    <t>002</t>
  </si>
  <si>
    <t>003</t>
  </si>
  <si>
    <t>Matheus</t>
  </si>
  <si>
    <t>Numero</t>
  </si>
  <si>
    <t>CodCliente</t>
  </si>
  <si>
    <t>Loja</t>
  </si>
  <si>
    <t>Produto</t>
  </si>
  <si>
    <t>Valor</t>
  </si>
  <si>
    <t>FaixaEtaria</t>
  </si>
  <si>
    <t>004</t>
  </si>
  <si>
    <t>Breno</t>
  </si>
  <si>
    <t>005</t>
  </si>
  <si>
    <t>Carol</t>
  </si>
  <si>
    <t>Lojas</t>
  </si>
  <si>
    <t>Gonzaga</t>
  </si>
  <si>
    <t>Centro</t>
  </si>
  <si>
    <t>Embaré</t>
  </si>
  <si>
    <t>Produtos</t>
  </si>
  <si>
    <t>Calçados</t>
  </si>
  <si>
    <t>Calças</t>
  </si>
  <si>
    <t>PROCV</t>
  </si>
  <si>
    <t>SOMASE</t>
  </si>
  <si>
    <t>MEDIASE</t>
  </si>
  <si>
    <t>CONT.SE</t>
  </si>
  <si>
    <t>Código</t>
  </si>
  <si>
    <t>Quantos tem?</t>
  </si>
  <si>
    <t>Qual o sexo?</t>
  </si>
  <si>
    <t>Qual o total?</t>
  </si>
  <si>
    <t>Qual a média?</t>
  </si>
  <si>
    <t>Vendas</t>
  </si>
  <si>
    <t>006</t>
  </si>
  <si>
    <t>Gabryel</t>
  </si>
  <si>
    <t>Total Geral</t>
  </si>
  <si>
    <t>Rank de vendas</t>
  </si>
  <si>
    <t>Total</t>
  </si>
  <si>
    <t>007</t>
  </si>
  <si>
    <t>Raphael</t>
  </si>
  <si>
    <t>m</t>
  </si>
  <si>
    <t>008</t>
  </si>
  <si>
    <t>Bruno</t>
  </si>
  <si>
    <t>ATENÇÃO</t>
  </si>
  <si>
    <t>Camisas</t>
  </si>
  <si>
    <t>Acumulado</t>
  </si>
  <si>
    <t>Saldo Anterior</t>
  </si>
  <si>
    <t>Saldo do mês</t>
  </si>
  <si>
    <t>Viagens</t>
  </si>
  <si>
    <t>Diversão</t>
  </si>
  <si>
    <t>Trabalho</t>
  </si>
  <si>
    <t>Estudos</t>
  </si>
  <si>
    <t>Casa</t>
  </si>
  <si>
    <t>Despesas</t>
  </si>
  <si>
    <t>Salario 3</t>
  </si>
  <si>
    <t>Salario 2</t>
  </si>
  <si>
    <t>Salario 1</t>
  </si>
  <si>
    <t>Dezembro</t>
  </si>
  <si>
    <t>Novembro</t>
  </si>
  <si>
    <t>Outubro</t>
  </si>
  <si>
    <t>Setembro</t>
  </si>
  <si>
    <t>Agosto</t>
  </si>
  <si>
    <t>Julho</t>
  </si>
  <si>
    <t>Junho</t>
  </si>
  <si>
    <t>Maio</t>
  </si>
  <si>
    <t>Abril</t>
  </si>
  <si>
    <t>Março</t>
  </si>
  <si>
    <t>Fevereiro</t>
  </si>
  <si>
    <t>Janeiro</t>
  </si>
  <si>
    <t>%</t>
  </si>
  <si>
    <t>Receitas</t>
  </si>
  <si>
    <t>D2</t>
  </si>
  <si>
    <t>D1</t>
  </si>
  <si>
    <t>Digito</t>
  </si>
  <si>
    <t>11 - Resto</t>
  </si>
  <si>
    <t>Resto/11</t>
  </si>
  <si>
    <t>Soma</t>
  </si>
  <si>
    <t>Check</t>
  </si>
  <si>
    <t>CPF</t>
  </si>
  <si>
    <t>CNPJ</t>
  </si>
  <si>
    <t>Dígito</t>
  </si>
  <si>
    <t>RG</t>
  </si>
  <si>
    <t>TITULO</t>
  </si>
  <si>
    <t>UF</t>
  </si>
  <si>
    <t>SP</t>
  </si>
  <si>
    <t>MG</t>
  </si>
  <si>
    <t>RJ</t>
  </si>
  <si>
    <t>RS</t>
  </si>
  <si>
    <t>BA</t>
  </si>
  <si>
    <t>PR</t>
  </si>
  <si>
    <t>CE</t>
  </si>
  <si>
    <t>PE</t>
  </si>
  <si>
    <t>SC</t>
  </si>
  <si>
    <t>GO</t>
  </si>
  <si>
    <t>MA</t>
  </si>
  <si>
    <t>PB</t>
  </si>
  <si>
    <t>PA</t>
  </si>
  <si>
    <t>ES</t>
  </si>
  <si>
    <t>PI</t>
  </si>
  <si>
    <t>RN</t>
  </si>
  <si>
    <t>AL</t>
  </si>
  <si>
    <t>MT</t>
  </si>
  <si>
    <t>MS</t>
  </si>
  <si>
    <t>DF</t>
  </si>
  <si>
    <t>SE</t>
  </si>
  <si>
    <t>AM</t>
  </si>
  <si>
    <t>AC</t>
  </si>
  <si>
    <t>AP</t>
  </si>
  <si>
    <t>RR</t>
  </si>
  <si>
    <t>TO</t>
  </si>
  <si>
    <t>ZZ-Exterior</t>
  </si>
  <si>
    <t>Estado</t>
  </si>
  <si>
    <t>CARTÃO</t>
  </si>
  <si>
    <t>5201328507493832</t>
  </si>
  <si>
    <t>Resto/10</t>
  </si>
  <si>
    <t>DV</t>
  </si>
  <si>
    <t>Emissora</t>
  </si>
  <si>
    <t>American Express</t>
  </si>
  <si>
    <t>Visa</t>
  </si>
  <si>
    <t>Mastercard</t>
  </si>
  <si>
    <t>Discover</t>
  </si>
  <si>
    <t>PROCESSO</t>
  </si>
  <si>
    <t>15001297920178260536</t>
  </si>
  <si>
    <r>
      <rPr>
        <sz val="11"/>
        <color theme="1"/>
        <rFont val="Calibri"/>
        <family val="2"/>
        <scheme val="minor"/>
      </rPr>
      <t>Pressione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8"/>
        <rFont val="Calibri"/>
        <family val="2"/>
        <scheme val="minor"/>
      </rPr>
      <t>Ctrl</t>
    </r>
    <r>
      <rPr>
        <sz val="11"/>
        <color theme="1"/>
        <rFont val="Calibri"/>
        <family val="2"/>
        <scheme val="minor"/>
      </rPr>
      <t>+</t>
    </r>
    <r>
      <rPr>
        <b/>
        <sz val="11"/>
        <color theme="8"/>
        <rFont val="Calibri"/>
        <family val="2"/>
        <scheme val="minor"/>
      </rPr>
      <t>Shift</t>
    </r>
    <r>
      <rPr>
        <sz val="11"/>
        <color theme="1"/>
        <rFont val="Calibri"/>
        <family val="2"/>
        <scheme val="minor"/>
      </rPr>
      <t>+</t>
    </r>
    <r>
      <rPr>
        <b/>
        <sz val="11"/>
        <color theme="8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para atualizar a tabela!</t>
    </r>
  </si>
  <si>
    <t>AV1</t>
  </si>
  <si>
    <t>AV2</t>
  </si>
  <si>
    <t>P1</t>
  </si>
  <si>
    <t>P2</t>
  </si>
  <si>
    <t>Matrícula</t>
  </si>
  <si>
    <t>Média</t>
  </si>
  <si>
    <t>GABRYEL FERREIRA DE HOLANDA SOARES</t>
  </si>
  <si>
    <t>0050481921010</t>
  </si>
  <si>
    <t>Situação</t>
  </si>
  <si>
    <t>Frequência</t>
  </si>
  <si>
    <t>Faltas</t>
  </si>
  <si>
    <t>Aulas Dadas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</si>
</sst>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_-[$R$-416]\ * #,##0.00_-;\-[$R$-416]\ * #,##0.00_-;_-[$R$-416]\ * &quot;-&quot;??_-;_-@_-"/>
    <numFmt numFmtId="166" formatCode="000&quot;.&quot;000&quot;.&quot;000&quot;-&quot;00"/>
    <numFmt numFmtId="167" formatCode="00&quot;.&quot;000&quot;.&quot;000&quot;/&quot;0000&quot;-&quot;00"/>
    <numFmt numFmtId="168" formatCode="00&quot;.&quot;000&quot;.&quot;000&quot;-&quot;0"/>
    <numFmt numFmtId="169" formatCode="0000&quot; &quot;0000&quot; &quot;0000"/>
    <numFmt numFmtId="170" formatCode="0000&quot; &quot;0000&quot; &quot;0000&quot; &quot;0000"/>
    <numFmt numFmtId="177" formatCode="0000000&quot;-&quot;00&quot;.&quot;0000&quot;.&quot;0&quot;.&quot;00&quot;.&quot;0000"/>
    <numFmt numFmtId="178" formatCode="00000000000000000000"/>
    <numFmt numFmtId="180" formatCode="0000000000000000000000000000"/>
    <numFmt numFmtId="194" formatCode="0.00&quot;%&quot;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8">
    <xf numFmtId="0" fontId="0" fillId="0" borderId="0" xfId="0"/>
    <xf numFmtId="49" fontId="0" fillId="0" borderId="0" xfId="1" applyNumberFormat="1" applyFont="1"/>
    <xf numFmtId="49" fontId="3" fillId="0" borderId="0" xfId="1" applyNumberFormat="1" applyFont="1"/>
    <xf numFmtId="49" fontId="0" fillId="0" borderId="0" xfId="0" applyNumberFormat="1"/>
    <xf numFmtId="0" fontId="4" fillId="0" borderId="0" xfId="0" applyFont="1"/>
    <xf numFmtId="0" fontId="0" fillId="0" borderId="0" xfId="0" applyNumberFormat="1"/>
    <xf numFmtId="164" fontId="0" fillId="0" borderId="0" xfId="2" applyFont="1"/>
    <xf numFmtId="0" fontId="5" fillId="0" borderId="0" xfId="0" applyFont="1"/>
    <xf numFmtId="0" fontId="2" fillId="0" borderId="0" xfId="0" applyFont="1"/>
    <xf numFmtId="164" fontId="0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9" fontId="7" fillId="0" borderId="0" xfId="0" applyNumberFormat="1" applyFont="1"/>
    <xf numFmtId="0" fontId="0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44" fontId="0" fillId="0" borderId="1" xfId="4" applyFont="1" applyBorder="1" applyAlignment="1">
      <alignment horizontal="center"/>
    </xf>
    <xf numFmtId="165" fontId="0" fillId="2" borderId="1" xfId="4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9" fontId="0" fillId="0" borderId="1" xfId="3" applyFont="1" applyBorder="1" applyAlignment="1">
      <alignment horizontal="center"/>
    </xf>
    <xf numFmtId="44" fontId="0" fillId="3" borderId="1" xfId="4" applyFont="1" applyFill="1" applyBorder="1" applyAlignment="1">
      <alignment horizontal="center"/>
    </xf>
    <xf numFmtId="0" fontId="9" fillId="0" borderId="0" xfId="0" applyFont="1"/>
    <xf numFmtId="0" fontId="0" fillId="4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8" fillId="0" borderId="0" xfId="0" applyFont="1" applyAlignment="1">
      <alignment horizontal="center"/>
    </xf>
    <xf numFmtId="166" fontId="0" fillId="5" borderId="1" xfId="0" applyNumberFormat="1" applyFill="1" applyBorder="1" applyAlignment="1">
      <alignment horizontal="center"/>
    </xf>
    <xf numFmtId="0" fontId="0" fillId="0" borderId="0" xfId="0" applyAlignment="1">
      <alignment horizontal="right"/>
    </xf>
    <xf numFmtId="0" fontId="6" fillId="4" borderId="1" xfId="0" applyFont="1" applyFill="1" applyBorder="1"/>
    <xf numFmtId="0" fontId="0" fillId="5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167" fontId="0" fillId="5" borderId="1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68" fontId="0" fillId="5" borderId="1" xfId="0" applyNumberForma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169" fontId="0" fillId="5" borderId="1" xfId="0" applyNumberFormat="1" applyFill="1" applyBorder="1" applyAlignment="1">
      <alignment horizontal="center"/>
    </xf>
    <xf numFmtId="0" fontId="0" fillId="0" borderId="1" xfId="0" applyBorder="1"/>
    <xf numFmtId="170" fontId="0" fillId="0" borderId="0" xfId="0" applyNumberFormat="1"/>
    <xf numFmtId="49" fontId="0" fillId="5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Border="1"/>
    <xf numFmtId="177" fontId="0" fillId="5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right"/>
    </xf>
    <xf numFmtId="0" fontId="0" fillId="5" borderId="0" xfId="0" applyFill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178" fontId="0" fillId="0" borderId="1" xfId="0" applyNumberFormat="1" applyBorder="1"/>
    <xf numFmtId="178" fontId="0" fillId="0" borderId="1" xfId="0" applyNumberFormat="1" applyBorder="1" applyAlignment="1">
      <alignment horizontal="center"/>
    </xf>
    <xf numFmtId="180" fontId="0" fillId="0" borderId="0" xfId="0" applyNumberFormat="1"/>
    <xf numFmtId="2" fontId="0" fillId="0" borderId="0" xfId="0" applyNumberForma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0" fillId="0" borderId="0" xfId="3" applyFont="1"/>
    <xf numFmtId="1" fontId="0" fillId="0" borderId="3" xfId="0" applyNumberFormat="1" applyBorder="1" applyAlignment="1">
      <alignment horizontal="center" vertical="center"/>
    </xf>
    <xf numFmtId="194" fontId="0" fillId="0" borderId="3" xfId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left" vertical="center"/>
    </xf>
    <xf numFmtId="9" fontId="12" fillId="3" borderId="8" xfId="3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left" vertical="center"/>
    </xf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/>
    </xf>
    <xf numFmtId="194" fontId="0" fillId="0" borderId="0" xfId="1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9" fontId="0" fillId="0" borderId="0" xfId="3" applyFont="1" applyBorder="1"/>
    <xf numFmtId="1" fontId="0" fillId="0" borderId="0" xfId="0" applyNumberFormat="1" applyAlignment="1">
      <alignment horizontal="center"/>
    </xf>
    <xf numFmtId="9" fontId="0" fillId="0" borderId="0" xfId="3" applyNumberFormat="1" applyFont="1" applyBorder="1"/>
  </cellXfs>
  <cellStyles count="5">
    <cellStyle name="Moeda" xfId="2" builtinId="4"/>
    <cellStyle name="Moeda 2" xfId="4" xr:uid="{73871E19-8782-4A2B-9923-9649EDABD21C}"/>
    <cellStyle name="Normal" xfId="0" builtinId="0"/>
    <cellStyle name="Porcentagem" xfId="3" builtinId="5"/>
    <cellStyle name="Vírgula" xfId="1" builtinId="3"/>
  </cellStyles>
  <dxfs count="81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4"/>
      </font>
      <fill>
        <patternFill>
          <bgColor theme="0"/>
        </patternFill>
      </fill>
    </dxf>
    <dxf>
      <font>
        <color rgb="FF92D05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92D050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92D050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92D050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4" formatCode="0.00&quot;%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color rgb="FFFF0000"/>
      </font>
      <fill>
        <patternFill>
          <bgColor theme="0"/>
        </patternFill>
      </fill>
    </dxf>
    <dxf>
      <font>
        <color rgb="FF92D050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92D050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92D050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92D050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92D050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&quot;R$&quot;* #,##0.00_-;\-&quot;R$&quot;* #,##0.00_-;_-&quot;R$&quot;* &quot;-&quot;??_-;_-@_-"/>
    </dxf>
    <dxf>
      <numFmt numFmtId="164" formatCode="_-&quot;R$&quot;* #,##0.00_-;\-&quot;R$&quot;* #,##0.00_-;_-&quot;R$&quot;* &quot;-&quot;??_-;_-@_-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164" formatCode="_-&quot;R$&quot;* #,##0.00_-;\-&quot;R$&quot;* #,##0.00_-;_-&quot;R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80"/>
      <tableStyleElement type="headerRow" dxfId="7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[A2M0050481921010.xlsx]9. DADOS!Tabela dinâmica4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Rank de Vendas</a:t>
            </a:r>
          </a:p>
        </c:rich>
      </c:tx>
      <c:layout>
        <c:manualLayout>
          <c:xMode val="edge"/>
          <c:yMode val="edge"/>
          <c:x val="0.37305489895274024"/>
          <c:y val="5.58163125517799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41200399848186"/>
          <c:y val="0.30272001788958375"/>
          <c:w val="0.70007691384501392"/>
          <c:h val="0.482991314019557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'9. DADOS'!$C$4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'9. DADOS'!$B$5:$B$13</c:f>
              <c:strCache>
                <c:ptCount val="8"/>
                <c:pt idx="0">
                  <c:v>Ayrton</c:v>
                </c:pt>
                <c:pt idx="1">
                  <c:v>Breno</c:v>
                </c:pt>
                <c:pt idx="2">
                  <c:v>Carol</c:v>
                </c:pt>
                <c:pt idx="3">
                  <c:v>Gabryel</c:v>
                </c:pt>
                <c:pt idx="4">
                  <c:v>Marta</c:v>
                </c:pt>
                <c:pt idx="5">
                  <c:v>Matheus</c:v>
                </c:pt>
                <c:pt idx="6">
                  <c:v>Raphael</c:v>
                </c:pt>
                <c:pt idx="7">
                  <c:v>Bruno</c:v>
                </c:pt>
              </c:strCache>
            </c:strRef>
          </c:cat>
          <c:val>
            <c:numRef>
              <c:f>'9. DADOS'!$C$5:$C$13</c:f>
              <c:numCache>
                <c:formatCode>_-"R$"* #,##0.00_-;\-"R$"* #,##0.00_-;_-"R$"* "-"??_-;_-@_-</c:formatCode>
                <c:ptCount val="8"/>
                <c:pt idx="0">
                  <c:v>2229</c:v>
                </c:pt>
                <c:pt idx="1">
                  <c:v>270</c:v>
                </c:pt>
                <c:pt idx="2">
                  <c:v>269</c:v>
                </c:pt>
                <c:pt idx="3">
                  <c:v>1899</c:v>
                </c:pt>
                <c:pt idx="4">
                  <c:v>1258</c:v>
                </c:pt>
                <c:pt idx="5">
                  <c:v>295</c:v>
                </c:pt>
                <c:pt idx="6">
                  <c:v>1255</c:v>
                </c:pt>
                <c:pt idx="7">
                  <c:v>1532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F-4A11-9DCD-855DFD6D3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7570032"/>
        <c:axId val="2038249216"/>
      </c:barChart>
      <c:catAx>
        <c:axId val="210757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249216"/>
        <c:crosses val="autoZero"/>
        <c:auto val="1"/>
        <c:lblAlgn val="ctr"/>
        <c:lblOffset val="100"/>
        <c:noMultiLvlLbl val="0"/>
      </c:catAx>
      <c:valAx>
        <c:axId val="203824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* #,##0.00_-;\-&quot;R$&quot;* #,##0.00_-;_-&quot;R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57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2</xdr:row>
      <xdr:rowOff>85725</xdr:rowOff>
    </xdr:from>
    <xdr:to>
      <xdr:col>17</xdr:col>
      <xdr:colOff>152400</xdr:colOff>
      <xdr:row>20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2A6DE4-66D1-4ED8-85D1-855C3D2BD9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utor" refreshedDate="43788.656078356478" createdVersion="6" refreshedVersion="6" minRefreshableVersion="3" recordCount="17" xr:uid="{2063EEA6-23BF-4C80-B417-BB6F4727DA23}">
  <cacheSource type="worksheet">
    <worksheetSource name="TabMove"/>
  </cacheSource>
  <cacheFields count="9">
    <cacheField name="CodCliente" numFmtId="49">
      <sharedItems/>
    </cacheField>
    <cacheField name="Nome" numFmtId="0">
      <sharedItems count="9">
        <s v="Ayrton"/>
        <s v="Marta"/>
        <s v="Matheus"/>
        <s v="Breno"/>
        <s v="Carol"/>
        <s v="Gabryel"/>
        <s v="Raphael"/>
        <s v="Bruno"/>
        <e v="#N/A" u="1"/>
      </sharedItems>
    </cacheField>
    <cacheField name="Numero" numFmtId="0">
      <sharedItems containsString="0" containsBlank="1" containsNumber="1" containsInteger="1" minValue="1" maxValue="10"/>
    </cacheField>
    <cacheField name="Idade" numFmtId="0">
      <sharedItems containsSemiMixedTypes="0" containsString="0" containsNumber="1" containsInteger="1" minValue="15" maxValue="55"/>
    </cacheField>
    <cacheField name="FaixaEtaria" numFmtId="0">
      <sharedItems/>
    </cacheField>
    <cacheField name="Sexo" numFmtId="0">
      <sharedItems/>
    </cacheField>
    <cacheField name="Loja" numFmtId="0">
      <sharedItems containsBlank="1"/>
    </cacheField>
    <cacheField name="Produto" numFmtId="0">
      <sharedItems containsBlank="1"/>
    </cacheField>
    <cacheField name="Valor" numFmtId="164">
      <sharedItems containsSemiMixedTypes="0" containsString="0" containsNumber="1" containsInteger="1" minValue="4" maxValue="13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001"/>
    <x v="0"/>
    <n v="1"/>
    <n v="55"/>
    <s v="&gt;41"/>
    <s v="M"/>
    <s v="Gonzaga"/>
    <s v="Camisas"/>
    <n v="75"/>
  </r>
  <r>
    <s v="002"/>
    <x v="1"/>
    <n v="2"/>
    <n v="51"/>
    <s v="&gt;41"/>
    <s v="F"/>
    <m/>
    <m/>
    <n v="1165"/>
  </r>
  <r>
    <s v="003"/>
    <x v="2"/>
    <n v="3"/>
    <n v="22"/>
    <s v="18 - 30"/>
    <s v="M"/>
    <m/>
    <m/>
    <n v="295"/>
  </r>
  <r>
    <s v="004"/>
    <x v="3"/>
    <n v="4"/>
    <n v="17"/>
    <s v="&lt;=18"/>
    <s v="M"/>
    <m/>
    <m/>
    <n v="270"/>
  </r>
  <r>
    <s v="005"/>
    <x v="4"/>
    <n v="5"/>
    <n v="15"/>
    <s v="&lt;=18"/>
    <s v="F"/>
    <m/>
    <m/>
    <n v="269"/>
  </r>
  <r>
    <s v="001"/>
    <x v="0"/>
    <n v="6"/>
    <n v="55"/>
    <s v="&gt;41"/>
    <s v="M"/>
    <m/>
    <m/>
    <n v="10"/>
  </r>
  <r>
    <s v="001"/>
    <x v="0"/>
    <n v="7"/>
    <n v="55"/>
    <s v="&gt;41"/>
    <s v="M"/>
    <m/>
    <m/>
    <n v="1000"/>
  </r>
  <r>
    <s v="001"/>
    <x v="0"/>
    <n v="8"/>
    <n v="55"/>
    <s v="&gt;41"/>
    <s v="M"/>
    <m/>
    <m/>
    <n v="40"/>
  </r>
  <r>
    <s v="001"/>
    <x v="0"/>
    <n v="9"/>
    <n v="55"/>
    <s v="&gt;41"/>
    <s v="M"/>
    <m/>
    <m/>
    <n v="4"/>
  </r>
  <r>
    <s v="002"/>
    <x v="1"/>
    <n v="10"/>
    <n v="51"/>
    <s v="&gt;41"/>
    <s v="F"/>
    <m/>
    <m/>
    <n v="5"/>
  </r>
  <r>
    <s v="006"/>
    <x v="5"/>
    <m/>
    <n v="24"/>
    <s v="18 - 30"/>
    <s v="M"/>
    <m/>
    <m/>
    <n v="999"/>
  </r>
  <r>
    <s v="007"/>
    <x v="6"/>
    <m/>
    <n v="24"/>
    <s v="18 - 30"/>
    <s v="M"/>
    <m/>
    <m/>
    <n v="1255"/>
  </r>
  <r>
    <s v="008"/>
    <x v="7"/>
    <m/>
    <n v="22"/>
    <s v="18 - 30"/>
    <s v="M"/>
    <m/>
    <m/>
    <n v="199"/>
  </r>
  <r>
    <s v="006"/>
    <x v="5"/>
    <m/>
    <n v="24"/>
    <s v="18 - 30"/>
    <s v="M"/>
    <m/>
    <m/>
    <n v="900"/>
  </r>
  <r>
    <s v="008"/>
    <x v="7"/>
    <m/>
    <n v="22"/>
    <s v="18 - 30"/>
    <s v="M"/>
    <m/>
    <m/>
    <n v="1333"/>
  </r>
  <r>
    <s v="002"/>
    <x v="1"/>
    <m/>
    <n v="51"/>
    <s v="&gt;41"/>
    <s v="F"/>
    <m/>
    <m/>
    <n v="88"/>
  </r>
  <r>
    <s v="001"/>
    <x v="0"/>
    <m/>
    <n v="55"/>
    <s v="&gt;41"/>
    <s v="M"/>
    <m/>
    <m/>
    <n v="1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08099F-3C55-4565-A566-41AB185FD42F}" name="Tabela dinâmica4" cacheId="2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 rowHeaderCaption="Rank de vendas">
  <location ref="B4:C13" firstHeaderRow="1" firstDataRow="1" firstDataCol="1"/>
  <pivotFields count="9">
    <pivotField showAll="0"/>
    <pivotField axis="axisRow" showAll="0">
      <items count="10">
        <item sd="0" x="0"/>
        <item sd="0" x="3"/>
        <item sd="0" x="4"/>
        <item sd="0" x="5"/>
        <item sd="0" x="1"/>
        <item sd="0" x="2"/>
        <item sd="0" x="6"/>
        <item x="7"/>
        <item m="1" x="8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4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Total" fld="8" baseField="1" baseItem="0" numFmtId="164"/>
  </dataFields>
  <formats count="2">
    <format dxfId="67">
      <pivotArea outline="0" collapsedLevelsAreSubtotals="1" fieldPosition="0"/>
    </format>
    <format dxfId="68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Move" displayName="TabMove" ref="A1:I18" totalsRowShown="0">
  <autoFilter ref="A1:I18" xr:uid="{00000000-0009-0000-0100-000002000000}"/>
  <tableColumns count="9">
    <tableColumn id="3" xr3:uid="{00000000-0010-0000-0100-000003000000}" name="CodCliente" dataDxfId="76"/>
    <tableColumn id="4" xr3:uid="{00000000-0010-0000-0100-000004000000}" name="Nome" dataDxfId="75">
      <calculatedColumnFormula>VLOOKUP(TabMove[[#This Row],[CodCliente]],TabCliente[],2)</calculatedColumnFormula>
    </tableColumn>
    <tableColumn id="1" xr3:uid="{00000000-0010-0000-0100-000001000000}" name="Numero" dataDxfId="74"/>
    <tableColumn id="5" xr3:uid="{00000000-0010-0000-0100-000005000000}" name="Idade" dataDxfId="73">
      <calculatedColumnFormula>VLOOKUP(TabMove[[#This Row],[CodCliente]],TabCliente[],3)</calculatedColumnFormula>
    </tableColumn>
    <tableColumn id="12" xr3:uid="{00000000-0010-0000-0100-00000C000000}" name="FaixaEtaria" dataDxfId="72">
      <calculatedColumnFormula>IF(TabMove[[#This Row],[Idade]]&lt;=18,"&lt;=18",IF(TabMove[[#This Row],[Idade]]&lt;=30,"18 - 30",IF(TabMove[[#This Row],[Idade]]&lt;=40,"31 - 40","&gt;41")))</calculatedColumnFormula>
    </tableColumn>
    <tableColumn id="6" xr3:uid="{00000000-0010-0000-0100-000006000000}" name="Sexo" dataDxfId="71">
      <calculatedColumnFormula>VLOOKUP(TabMove[[#This Row],[CodCliente]],TabCliente[],4)</calculatedColumnFormula>
    </tableColumn>
    <tableColumn id="7" xr3:uid="{00000000-0010-0000-0100-000007000000}" name="Loja"/>
    <tableColumn id="8" xr3:uid="{00000000-0010-0000-0100-000008000000}" name="Produto"/>
    <tableColumn id="9" xr3:uid="{00000000-0010-0000-0100-000009000000}" name="Valor" dataCellStyle="Moe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Cliente" displayName="TabCliente" ref="A1:E9" totalsRowShown="0">
  <autoFilter ref="A1:E9" xr:uid="{00000000-0009-0000-0100-000001000000}"/>
  <tableColumns count="5">
    <tableColumn id="1" xr3:uid="{00000000-0010-0000-0000-000001000000}" name="CodigoCli" dataDxfId="78" dataCellStyle="Vírgula"/>
    <tableColumn id="2" xr3:uid="{00000000-0010-0000-0000-000002000000}" name="Nome"/>
    <tableColumn id="3" xr3:uid="{00000000-0010-0000-0000-000003000000}" name="Idade"/>
    <tableColumn id="4" xr3:uid="{00000000-0010-0000-0000-000004000000}" name="Sexo"/>
    <tableColumn id="10" xr3:uid="{00000000-0010-0000-0000-00000A000000}" name="Vendas" dataDxfId="77" dataCellStyle="Moeda">
      <calculatedColumnFormula>AVERAGEIF(TabMove[],A2,TabMove[Valor])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135266-6FB2-4CC7-A2E9-F6DD4C14640B}" name="Tabela7" displayName="Tabela7" ref="B2:L3" totalsRowShown="0" headerRowDxfId="54" dataDxfId="53" headerRowBorderDxfId="65" tableBorderDxfId="66" totalsRowBorderDxfId="64" headerRowCellStyle="Porcentagem">
  <autoFilter ref="B2:L3" xr:uid="{CD20C346-5477-4DD7-9406-D90D7DBF92D8}"/>
  <tableColumns count="11">
    <tableColumn id="1" xr3:uid="{43F5A9E5-2810-401B-B692-04B52425019E}" name="Matrícula" dataDxfId="63"/>
    <tableColumn id="2" xr3:uid="{B2DAF604-EFA8-46E0-A5C4-184A77BEFD26}" name="Nome" dataDxfId="62"/>
    <tableColumn id="3" xr3:uid="{6752CB6B-B6A6-42BD-8E73-497E0F776FB8}" name="AV1" dataDxfId="61"/>
    <tableColumn id="4" xr3:uid="{8BC690E7-3718-44FE-AB13-B44C093D0728}" name="AV2" dataDxfId="60"/>
    <tableColumn id="5" xr3:uid="{A68B4A08-D37F-4C44-B32D-528AD4D391F2}" name="P1" dataDxfId="59"/>
    <tableColumn id="6" xr3:uid="{F4D4F2F9-10F0-4FEE-921E-A3D20A28A6CC}" name="P2" dataDxfId="58"/>
    <tableColumn id="7" xr3:uid="{E58A3C83-CCDE-4164-8170-34944410AAA9}" name="Média" dataDxfId="57">
      <calculatedColumnFormula>IF(OR(D3="",E3="",G3="",F3=""),"",((D3+E3)/2+F3+G3)/3)</calculatedColumnFormula>
    </tableColumn>
    <tableColumn id="8" xr3:uid="{1A33E363-E76C-4FBD-A0E5-A97CA3DA176E}" name="Faltas" dataDxfId="56"/>
    <tableColumn id="9" xr3:uid="{D749E01A-B3BD-493B-9B2A-251B124FA2EC}" name="Aulas Dadas" dataDxfId="55"/>
    <tableColumn id="10" xr3:uid="{41469CD5-9E46-418A-AC54-FC2B132364B7}" name="Frequência" dataDxfId="37" dataCellStyle="Vírgula">
      <calculatedColumnFormula>IF(Tabela7[[#This Row],[Matrícula]]&lt;&gt;"",100-((I3*100)/J3),"")</calculatedColumnFormula>
    </tableColumn>
    <tableColumn id="11" xr3:uid="{072501D6-3EE8-44AC-95FA-8B11FCF0880D}" name="Situação" dataDxfId="36">
      <calculatedColumnFormula>IF(H3&lt;&gt;"",IF(OR(K3&lt;75,H3&lt;6),"Reprovado","Aprovado"),IF(Tabela7[[#This Row],[Matrícula]]&lt;&gt;0,"Cursando",""))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3C0790-103C-426E-B261-F5EFECD01F8A}" name="TabEstado" displayName="TabEstado" ref="C10:D38" totalsRowShown="0" headerRowDxfId="70">
  <autoFilter ref="C10:D38" xr:uid="{C3DDF003-6661-489B-800D-8FD68FAC2E7E}"/>
  <tableColumns count="2">
    <tableColumn id="1" xr3:uid="{6E5F06BD-9076-4C1F-B6C1-1BD781702A55}" name="Código"/>
    <tableColumn id="2" xr3:uid="{2B549D3C-3265-43E4-94A7-67B4BBD946C0}" name="UF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F460FF-0B22-44D7-9B7A-8674C41E8298}" name="TabEmissora" displayName="TabEmissora" ref="C9:D13" totalsRowShown="0">
  <autoFilter ref="C9:D13" xr:uid="{CB6A9DA5-07A4-4311-95E8-0C21E8E7BEF6}"/>
  <tableColumns count="2">
    <tableColumn id="1" xr3:uid="{FB3EFBEA-387E-43AB-A67F-0F32F5629D0F}" name="Código"/>
    <tableColumn id="2" xr3:uid="{CE01E1BB-B69B-4B52-AF73-AAA1FFFAF392}" name="Emissor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D12277E-EED9-4D85-B79F-D697295D85CE}" name="TabEmissora7" displayName="TabEmissora7" ref="W6:X10" totalsRowShown="0">
  <autoFilter ref="W6:X10" xr:uid="{8F75DBC3-AC44-40AA-B9F4-7B05418CE9B5}"/>
  <tableColumns count="2">
    <tableColumn id="1" xr3:uid="{B467E6FA-335F-456B-B25B-458F3220A5BE}" name="Código" dataDxfId="69"/>
    <tableColumn id="2" xr3:uid="{1D1A442F-D79B-48E2-B5D5-8847237285F2}" name="Emisso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8DC62-23F5-4939-8980-8FD6C81865FF}">
  <dimension ref="A1:N17"/>
  <sheetViews>
    <sheetView tabSelected="1" workbookViewId="0"/>
  </sheetViews>
  <sheetFormatPr defaultRowHeight="15" x14ac:dyDescent="0.25"/>
  <cols>
    <col min="1" max="1" width="17.7109375" style="16" bestFit="1" customWidth="1"/>
    <col min="2" max="2" width="13.85546875" style="16" bestFit="1" customWidth="1"/>
    <col min="3" max="3" width="13.28515625" style="16" customWidth="1"/>
    <col min="4" max="4" width="13.28515625" style="16" bestFit="1" customWidth="1"/>
    <col min="5" max="12" width="13.28515625" style="16" customWidth="1"/>
    <col min="13" max="13" width="13.42578125" style="16" bestFit="1" customWidth="1"/>
    <col min="14" max="14" width="13.28515625" style="16" customWidth="1"/>
  </cols>
  <sheetData>
    <row r="1" spans="1:14" s="28" customFormat="1" ht="18.75" x14ac:dyDescent="0.3">
      <c r="A1" s="25" t="s">
        <v>76</v>
      </c>
      <c r="B1" s="25" t="s">
        <v>75</v>
      </c>
      <c r="C1" s="25" t="s">
        <v>74</v>
      </c>
      <c r="D1" s="25" t="s">
        <v>73</v>
      </c>
      <c r="E1" s="25" t="s">
        <v>72</v>
      </c>
      <c r="F1" s="25" t="s">
        <v>71</v>
      </c>
      <c r="G1" s="25" t="s">
        <v>70</v>
      </c>
      <c r="H1" s="25" t="s">
        <v>69</v>
      </c>
      <c r="I1" s="25" t="s">
        <v>68</v>
      </c>
      <c r="J1" s="25" t="s">
        <v>67</v>
      </c>
      <c r="K1" s="25" t="s">
        <v>66</v>
      </c>
      <c r="L1" s="25" t="s">
        <v>65</v>
      </c>
      <c r="M1" s="25" t="s">
        <v>64</v>
      </c>
      <c r="N1" s="25" t="s">
        <v>63</v>
      </c>
    </row>
    <row r="2" spans="1:14" x14ac:dyDescent="0.25">
      <c r="A2" s="20" t="s">
        <v>62</v>
      </c>
      <c r="B2" s="26">
        <f>C2/$C$5</f>
        <v>0.51020408163265307</v>
      </c>
      <c r="C2" s="27">
        <v>5000</v>
      </c>
      <c r="D2" s="27">
        <v>5000</v>
      </c>
      <c r="E2" s="27">
        <v>5000</v>
      </c>
      <c r="F2" s="27">
        <v>5000</v>
      </c>
      <c r="G2" s="27">
        <v>5000</v>
      </c>
      <c r="H2" s="27">
        <v>5000</v>
      </c>
      <c r="I2" s="27">
        <v>5000</v>
      </c>
      <c r="J2" s="27">
        <v>5000</v>
      </c>
      <c r="K2" s="27">
        <v>5000</v>
      </c>
      <c r="L2" s="27">
        <v>5000</v>
      </c>
      <c r="M2" s="27">
        <v>5000</v>
      </c>
      <c r="N2" s="27">
        <v>5000</v>
      </c>
    </row>
    <row r="3" spans="1:14" x14ac:dyDescent="0.25">
      <c r="A3" s="20" t="s">
        <v>61</v>
      </c>
      <c r="B3" s="26">
        <f>C3/$C$5</f>
        <v>0.30612244897959184</v>
      </c>
      <c r="C3" s="27">
        <v>3000</v>
      </c>
      <c r="D3" s="27">
        <v>3300</v>
      </c>
      <c r="E3" s="27">
        <v>3000</v>
      </c>
      <c r="F3" s="27">
        <v>3000</v>
      </c>
      <c r="G3" s="27">
        <v>3000</v>
      </c>
      <c r="H3" s="27">
        <v>3000</v>
      </c>
      <c r="I3" s="27">
        <v>3000</v>
      </c>
      <c r="J3" s="27">
        <v>3000</v>
      </c>
      <c r="K3" s="27">
        <v>3000</v>
      </c>
      <c r="L3" s="27">
        <v>3000</v>
      </c>
      <c r="M3" s="27">
        <v>3000</v>
      </c>
      <c r="N3" s="27">
        <v>3000</v>
      </c>
    </row>
    <row r="4" spans="1:14" x14ac:dyDescent="0.25">
      <c r="A4" s="20" t="s">
        <v>60</v>
      </c>
      <c r="B4" s="26">
        <f>C4/$C$5</f>
        <v>0.18367346938775511</v>
      </c>
      <c r="C4" s="27">
        <v>1800</v>
      </c>
      <c r="D4" s="27">
        <v>1800</v>
      </c>
      <c r="E4" s="27">
        <v>1800</v>
      </c>
      <c r="F4" s="27">
        <v>1800</v>
      </c>
      <c r="G4" s="27">
        <v>1800</v>
      </c>
      <c r="H4" s="27">
        <v>1800</v>
      </c>
      <c r="I4" s="27">
        <v>1800</v>
      </c>
      <c r="J4" s="27">
        <v>1800</v>
      </c>
      <c r="K4" s="27">
        <v>1800</v>
      </c>
      <c r="L4" s="27">
        <v>1800</v>
      </c>
      <c r="M4" s="27">
        <v>1800</v>
      </c>
      <c r="N4" s="27">
        <v>1800</v>
      </c>
    </row>
    <row r="5" spans="1:14" x14ac:dyDescent="0.25">
      <c r="A5" s="20" t="s">
        <v>43</v>
      </c>
      <c r="B5" s="26">
        <f>SUM(B2:B4)</f>
        <v>1</v>
      </c>
      <c r="C5" s="18">
        <f>SUM(C2:C4)</f>
        <v>9800</v>
      </c>
      <c r="D5" s="18">
        <f>SUM(D2:D4)</f>
        <v>10100</v>
      </c>
      <c r="E5" s="18">
        <f>SUM(E2:E4)</f>
        <v>9800</v>
      </c>
      <c r="F5" s="18">
        <f>SUM(F2:F4)</f>
        <v>9800</v>
      </c>
      <c r="G5" s="18">
        <f>SUM(G2:G4)</f>
        <v>9800</v>
      </c>
      <c r="H5" s="18">
        <f>SUM(H2:H4)</f>
        <v>9800</v>
      </c>
      <c r="I5" s="18">
        <f>SUM(I2:I4)</f>
        <v>9800</v>
      </c>
      <c r="J5" s="18">
        <f>SUM(J2:J4)</f>
        <v>9800</v>
      </c>
      <c r="K5" s="18">
        <f>SUM(K2:K4)</f>
        <v>9800</v>
      </c>
      <c r="L5" s="18">
        <f>SUM(L2:L4)</f>
        <v>9800</v>
      </c>
      <c r="M5" s="18">
        <f>SUM(M2:M4)</f>
        <v>9800</v>
      </c>
      <c r="N5" s="18">
        <f>SUM(N2:N4)</f>
        <v>9800</v>
      </c>
    </row>
    <row r="6" spans="1:14" s="8" customFormat="1" ht="18.75" x14ac:dyDescent="0.3">
      <c r="A6" s="25" t="s">
        <v>59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x14ac:dyDescent="0.25">
      <c r="A7" s="20" t="s">
        <v>58</v>
      </c>
      <c r="B7" s="23">
        <v>0.35</v>
      </c>
      <c r="C7" s="18">
        <f>C$5*$B$7</f>
        <v>3430</v>
      </c>
      <c r="D7" s="18">
        <f>D$5*$B$7</f>
        <v>3535</v>
      </c>
      <c r="E7" s="18">
        <f>E$5*$B$7</f>
        <v>3430</v>
      </c>
      <c r="F7" s="18">
        <f>F$5*$B$7</f>
        <v>3430</v>
      </c>
      <c r="G7" s="18">
        <f>G$5*$B$7</f>
        <v>3430</v>
      </c>
      <c r="H7" s="18">
        <f>H$5*$B$7</f>
        <v>3430</v>
      </c>
      <c r="I7" s="18">
        <f>I$5*$B$7</f>
        <v>3430</v>
      </c>
      <c r="J7" s="18">
        <f>J$5*$B$7</f>
        <v>3430</v>
      </c>
      <c r="K7" s="18">
        <f>K$5*$B$7</f>
        <v>3430</v>
      </c>
      <c r="L7" s="18">
        <f>L$5*$B$7</f>
        <v>3430</v>
      </c>
      <c r="M7" s="18">
        <f>M$5*$B$7</f>
        <v>3430</v>
      </c>
      <c r="N7" s="18">
        <f>N$5*$B$7</f>
        <v>3430</v>
      </c>
    </row>
    <row r="8" spans="1:14" x14ac:dyDescent="0.25">
      <c r="A8" s="20" t="s">
        <v>57</v>
      </c>
      <c r="B8" s="23">
        <v>0.1</v>
      </c>
      <c r="C8" s="18">
        <f>C$5*$B$8</f>
        <v>980</v>
      </c>
      <c r="D8" s="18">
        <f>D$5*$B$8</f>
        <v>1010</v>
      </c>
      <c r="E8" s="18">
        <f>E$5*$B$8</f>
        <v>980</v>
      </c>
      <c r="F8" s="18">
        <f>F$5*$B$8</f>
        <v>980</v>
      </c>
      <c r="G8" s="18">
        <f>G$5*$B$8</f>
        <v>980</v>
      </c>
      <c r="H8" s="18">
        <f>H$5*$B$8</f>
        <v>980</v>
      </c>
      <c r="I8" s="18">
        <f>I$5*$B$8</f>
        <v>980</v>
      </c>
      <c r="J8" s="18">
        <f>J$5*$B$8</f>
        <v>980</v>
      </c>
      <c r="K8" s="18">
        <f>K$5*$B$8</f>
        <v>980</v>
      </c>
      <c r="L8" s="18">
        <f>L$5*$B$8</f>
        <v>980</v>
      </c>
      <c r="M8" s="18">
        <f>M$5*$B$8</f>
        <v>980</v>
      </c>
      <c r="N8" s="18">
        <f>N$5*$B$8</f>
        <v>980</v>
      </c>
    </row>
    <row r="9" spans="1:14" x14ac:dyDescent="0.25">
      <c r="A9" s="20" t="s">
        <v>56</v>
      </c>
      <c r="B9" s="23">
        <v>0.2</v>
      </c>
      <c r="C9" s="18">
        <f>C$5*$B$9</f>
        <v>1960</v>
      </c>
      <c r="D9" s="18">
        <f>D$5*$B$9</f>
        <v>2020</v>
      </c>
      <c r="E9" s="18">
        <f>E$5*$B$9</f>
        <v>1960</v>
      </c>
      <c r="F9" s="18">
        <f>F$5*$B$9</f>
        <v>1960</v>
      </c>
      <c r="G9" s="18">
        <f>G$5*$B$9</f>
        <v>1960</v>
      </c>
      <c r="H9" s="18">
        <f>H$5*$B$9</f>
        <v>1960</v>
      </c>
      <c r="I9" s="18">
        <f>I$5*$B$9</f>
        <v>1960</v>
      </c>
      <c r="J9" s="18">
        <f>J$5*$B$9</f>
        <v>1960</v>
      </c>
      <c r="K9" s="18">
        <f>K$5*$B$9</f>
        <v>1960</v>
      </c>
      <c r="L9" s="18">
        <f>L$5*$B$9</f>
        <v>1960</v>
      </c>
      <c r="M9" s="18">
        <f>M$5*$B$9</f>
        <v>1960</v>
      </c>
      <c r="N9" s="18">
        <f>N$5*$B$9</f>
        <v>1960</v>
      </c>
    </row>
    <row r="10" spans="1:14" x14ac:dyDescent="0.25">
      <c r="A10" s="20" t="s">
        <v>55</v>
      </c>
      <c r="B10" s="23">
        <v>0.15</v>
      </c>
      <c r="C10" s="18">
        <f>C$5*$B$10</f>
        <v>1470</v>
      </c>
      <c r="D10" s="18">
        <f>D$5*$B$10</f>
        <v>1515</v>
      </c>
      <c r="E10" s="18">
        <f>E$5*$B$10</f>
        <v>1470</v>
      </c>
      <c r="F10" s="18">
        <f>F$5*$B$10</f>
        <v>1470</v>
      </c>
      <c r="G10" s="18">
        <f>G$5*$B$10</f>
        <v>1470</v>
      </c>
      <c r="H10" s="18">
        <f>H$5*$B$10</f>
        <v>1470</v>
      </c>
      <c r="I10" s="18">
        <f>I$5*$B$10</f>
        <v>1470</v>
      </c>
      <c r="J10" s="18">
        <f>J$5*$B$10</f>
        <v>1470</v>
      </c>
      <c r="K10" s="18">
        <f>K$5*$B$10</f>
        <v>1470</v>
      </c>
      <c r="L10" s="18">
        <f>L$5*$B$10</f>
        <v>1470</v>
      </c>
      <c r="M10" s="18">
        <f>M$5*$B$10</f>
        <v>1470</v>
      </c>
      <c r="N10" s="18">
        <f>N$5*$B$10</f>
        <v>1470</v>
      </c>
    </row>
    <row r="11" spans="1:14" x14ac:dyDescent="0.25">
      <c r="A11" s="20" t="s">
        <v>54</v>
      </c>
      <c r="B11" s="23">
        <v>0.1</v>
      </c>
      <c r="C11" s="18">
        <f>C$5*$B$11</f>
        <v>980</v>
      </c>
      <c r="D11" s="18">
        <f>D$5*$B$11</f>
        <v>1010</v>
      </c>
      <c r="E11" s="18">
        <f>E$5*$B$11</f>
        <v>980</v>
      </c>
      <c r="F11" s="18">
        <f>F$5*$B$11</f>
        <v>980</v>
      </c>
      <c r="G11" s="18">
        <f>G$5*$B$11</f>
        <v>980</v>
      </c>
      <c r="H11" s="18">
        <f>H$5*$B$11</f>
        <v>980</v>
      </c>
      <c r="I11" s="18">
        <f>I$5*$B$11</f>
        <v>980</v>
      </c>
      <c r="J11" s="18">
        <f>J$5*$B$11</f>
        <v>980</v>
      </c>
      <c r="K11" s="18">
        <f>K$5*$B$11</f>
        <v>980</v>
      </c>
      <c r="L11" s="18">
        <f>L$5*$B$11</f>
        <v>980</v>
      </c>
      <c r="M11" s="18">
        <f>M$5*$B$11</f>
        <v>980</v>
      </c>
      <c r="N11" s="18">
        <f>N$5*$B$11</f>
        <v>980</v>
      </c>
    </row>
    <row r="12" spans="1:14" x14ac:dyDescent="0.25">
      <c r="A12" s="20" t="s">
        <v>43</v>
      </c>
      <c r="B12" s="22">
        <f>SUM(B7:B11)</f>
        <v>0.89999999999999991</v>
      </c>
      <c r="C12" s="18">
        <f>SUM(C$7:C$11)</f>
        <v>8820</v>
      </c>
      <c r="D12" s="18">
        <f>SUM(D$7:D$11)</f>
        <v>9090</v>
      </c>
      <c r="E12" s="18">
        <f>SUM(E$7:E$11)</f>
        <v>8820</v>
      </c>
      <c r="F12" s="18">
        <f>SUM(F$7:F$11)</f>
        <v>8820</v>
      </c>
      <c r="G12" s="18">
        <f>SUM(G$7:G$11)</f>
        <v>8820</v>
      </c>
      <c r="H12" s="18">
        <f>SUM(H$7:H$11)</f>
        <v>8820</v>
      </c>
      <c r="I12" s="18">
        <f>SUM(I$7:I$11)</f>
        <v>8820</v>
      </c>
      <c r="J12" s="18">
        <f>SUM(J$7:J$11)</f>
        <v>8820</v>
      </c>
      <c r="K12" s="18">
        <f>SUM(K$7:K$11)</f>
        <v>8820</v>
      </c>
      <c r="L12" s="18">
        <f>SUM(L$7:L$11)</f>
        <v>8820</v>
      </c>
      <c r="M12" s="18">
        <f>SUM(M$7:M$11)</f>
        <v>8820</v>
      </c>
      <c r="N12" s="18">
        <f>SUM(N$7:N$11)</f>
        <v>8820</v>
      </c>
    </row>
    <row r="13" spans="1:14" x14ac:dyDescent="0.25">
      <c r="A13" s="20" t="s">
        <v>53</v>
      </c>
      <c r="B13" s="21" t="s">
        <v>52</v>
      </c>
      <c r="C13" s="18">
        <f>C$5-C$12</f>
        <v>980</v>
      </c>
      <c r="D13" s="18">
        <f>D$5-D$12</f>
        <v>1010</v>
      </c>
      <c r="E13" s="18">
        <f>E$5-E$12</f>
        <v>980</v>
      </c>
      <c r="F13" s="18">
        <f>F$5-F$12</f>
        <v>980</v>
      </c>
      <c r="G13" s="18">
        <f>G$5-G$12</f>
        <v>980</v>
      </c>
      <c r="H13" s="18">
        <f>H$5-H$12</f>
        <v>980</v>
      </c>
      <c r="I13" s="18">
        <f>I$5-I$12</f>
        <v>980</v>
      </c>
      <c r="J13" s="18">
        <f>J$5-J$12</f>
        <v>980</v>
      </c>
      <c r="K13" s="18">
        <f>K$5-K$12</f>
        <v>980</v>
      </c>
      <c r="L13" s="18">
        <f>L$5-L$12</f>
        <v>980</v>
      </c>
      <c r="M13" s="18">
        <f>M$5-M$12</f>
        <v>980</v>
      </c>
      <c r="N13" s="18">
        <f>N$5-N$12</f>
        <v>980</v>
      </c>
    </row>
    <row r="14" spans="1:14" x14ac:dyDescent="0.25">
      <c r="A14" s="20" t="s">
        <v>51</v>
      </c>
      <c r="B14" s="19">
        <v>10000</v>
      </c>
      <c r="C14" s="18">
        <f>B$14+C$13</f>
        <v>10980</v>
      </c>
      <c r="D14" s="18">
        <f>C$14+D$13</f>
        <v>11990</v>
      </c>
      <c r="E14" s="18">
        <f>D$14+E$13</f>
        <v>12970</v>
      </c>
      <c r="F14" s="18">
        <f>E$14+F$13</f>
        <v>13950</v>
      </c>
      <c r="G14" s="18">
        <f>F$14+G$13</f>
        <v>14930</v>
      </c>
      <c r="H14" s="18">
        <f>G$14+H$13</f>
        <v>15910</v>
      </c>
      <c r="I14" s="18">
        <f>H$14+I$13</f>
        <v>16890</v>
      </c>
      <c r="J14" s="18">
        <f>I$14+J$13</f>
        <v>17870</v>
      </c>
      <c r="K14" s="18">
        <f>J$14+K$13</f>
        <v>18850</v>
      </c>
      <c r="L14" s="18">
        <f>K$14+L$13</f>
        <v>19830</v>
      </c>
      <c r="M14" s="18">
        <f>L$14+M$13</f>
        <v>20810</v>
      </c>
      <c r="N14" s="18">
        <f>M$14+N$13</f>
        <v>21790</v>
      </c>
    </row>
    <row r="17" spans="1:5" ht="18.75" x14ac:dyDescent="0.3">
      <c r="A17" s="17"/>
      <c r="E17" s="1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66B6A-5B35-4FB5-956B-F18CF90FECFF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O36"/>
  <sheetViews>
    <sheetView workbookViewId="0">
      <selection activeCell="L12" sqref="L12"/>
    </sheetView>
  </sheetViews>
  <sheetFormatPr defaultRowHeight="15" x14ac:dyDescent="0.25"/>
  <cols>
    <col min="1" max="1" width="17.140625" bestFit="1" customWidth="1"/>
    <col min="2" max="2" width="11.7109375" bestFit="1" customWidth="1"/>
    <col min="3" max="3" width="13" style="3" customWidth="1"/>
    <col min="4" max="4" width="10.42578125" customWidth="1"/>
    <col min="5" max="5" width="10.7109375" bestFit="1" customWidth="1"/>
    <col min="8" max="8" width="8.5703125" customWidth="1"/>
    <col min="9" max="9" width="17" customWidth="1"/>
    <col min="10" max="10" width="4.42578125" customWidth="1"/>
    <col min="11" max="11" width="17" style="6" customWidth="1"/>
    <col min="12" max="15" width="13.5703125" customWidth="1"/>
  </cols>
  <sheetData>
    <row r="1" spans="1:15" x14ac:dyDescent="0.25">
      <c r="A1" s="3" t="s">
        <v>13</v>
      </c>
      <c r="B1" t="s">
        <v>1</v>
      </c>
      <c r="C1" t="s">
        <v>12</v>
      </c>
      <c r="D1" t="s">
        <v>2</v>
      </c>
      <c r="E1" t="s">
        <v>17</v>
      </c>
      <c r="F1" t="s">
        <v>3</v>
      </c>
      <c r="G1" t="s">
        <v>14</v>
      </c>
      <c r="H1" t="s">
        <v>15</v>
      </c>
      <c r="I1" s="6" t="s">
        <v>16</v>
      </c>
      <c r="K1"/>
      <c r="M1" t="s">
        <v>33</v>
      </c>
      <c r="N1" t="s">
        <v>33</v>
      </c>
      <c r="O1" t="s">
        <v>33</v>
      </c>
    </row>
    <row r="2" spans="1:15" x14ac:dyDescent="0.25">
      <c r="A2" s="3" t="s">
        <v>4</v>
      </c>
      <c r="B2" t="str">
        <f>VLOOKUP(TabMove[[#This Row],[CodCliente]],TabCliente[],2)</f>
        <v>Ayrton</v>
      </c>
      <c r="C2">
        <v>1</v>
      </c>
      <c r="D2">
        <f>VLOOKUP(TabMove[[#This Row],[CodCliente]],TabCliente[],3)</f>
        <v>55</v>
      </c>
      <c r="E2" t="str">
        <f>IF(TabMove[[#This Row],[Idade]]&lt;=18,"&lt;=18",IF(TabMove[[#This Row],[Idade]]&lt;=30,"18 - 30",IF(TabMove[[#This Row],[Idade]]&lt;=40,"31 - 40","&gt;41")))</f>
        <v>&gt;41</v>
      </c>
      <c r="F2" t="str">
        <f>VLOOKUP(TabMove[[#This Row],[CodCliente]],TabCliente[],4)</f>
        <v>M</v>
      </c>
      <c r="G2" t="s">
        <v>23</v>
      </c>
      <c r="H2" t="s">
        <v>50</v>
      </c>
      <c r="I2" s="6">
        <v>75</v>
      </c>
      <c r="K2"/>
      <c r="M2" s="3" t="s">
        <v>4</v>
      </c>
      <c r="N2" s="3" t="s">
        <v>9</v>
      </c>
      <c r="O2" s="3" t="s">
        <v>10</v>
      </c>
    </row>
    <row r="3" spans="1:15" x14ac:dyDescent="0.25">
      <c r="A3" s="3" t="s">
        <v>9</v>
      </c>
      <c r="B3" t="str">
        <f>VLOOKUP(TabMove[[#This Row],[CodCliente]],TabCliente[],2)</f>
        <v>Marta</v>
      </c>
      <c r="C3">
        <v>2</v>
      </c>
      <c r="D3">
        <f>VLOOKUP(TabMove[[#This Row],[CodCliente]],TabCliente[],3)</f>
        <v>51</v>
      </c>
      <c r="E3" t="str">
        <f>IF(TabMove[[#This Row],[Idade]]&lt;=18,"&lt;=18",IF(TabMove[[#This Row],[Idade]]&lt;=30,"18 - 30",IF(TabMove[[#This Row],[Idade]]&lt;=40,"31 - 40","&gt;41")))</f>
        <v>&gt;41</v>
      </c>
      <c r="F3" t="str">
        <f>VLOOKUP(TabMove[[#This Row],[CodCliente]],TabCliente[],4)</f>
        <v>F</v>
      </c>
      <c r="I3" s="6">
        <v>1165</v>
      </c>
      <c r="K3"/>
      <c r="M3" t="str">
        <f>VLOOKUP(M2,TabCliente[],2)</f>
        <v>Ayrton</v>
      </c>
      <c r="N3" t="str">
        <f>VLOOKUP(N2,TabCliente[],2)</f>
        <v>Marta</v>
      </c>
      <c r="O3" t="str">
        <f>VLOOKUP(O2,TabCliente[],2)</f>
        <v>Matheus</v>
      </c>
    </row>
    <row r="4" spans="1:15" x14ac:dyDescent="0.25">
      <c r="A4" s="3" t="s">
        <v>10</v>
      </c>
      <c r="B4" t="str">
        <f>VLOOKUP(TabMove[[#This Row],[CodCliente]],TabCliente[],2)</f>
        <v>Matheus</v>
      </c>
      <c r="C4">
        <v>3</v>
      </c>
      <c r="D4">
        <f>VLOOKUP(TabMove[[#This Row],[CodCliente]],TabCliente[],3)</f>
        <v>22</v>
      </c>
      <c r="E4" t="str">
        <f>IF(TabMove[[#This Row],[Idade]]&lt;=18,"&lt;=18",IF(TabMove[[#This Row],[Idade]]&lt;=30,"18 - 30",IF(TabMove[[#This Row],[Idade]]&lt;=40,"31 - 40","&gt;41")))</f>
        <v>18 - 30</v>
      </c>
      <c r="F4" t="str">
        <f>VLOOKUP(TabMove[[#This Row],[CodCliente]],TabCliente[],4)</f>
        <v>M</v>
      </c>
      <c r="I4" s="6">
        <v>295</v>
      </c>
      <c r="K4" s="7" t="s">
        <v>29</v>
      </c>
      <c r="L4" s="8" t="s">
        <v>35</v>
      </c>
      <c r="M4" s="11" t="str">
        <f>VLOOKUP(M2,TabCliente[],4)</f>
        <v>M</v>
      </c>
      <c r="N4" s="11" t="str">
        <f>VLOOKUP(N2,TabCliente[],4)</f>
        <v>F</v>
      </c>
      <c r="O4" s="11" t="str">
        <f>VLOOKUP(O2,TabCliente[],4)</f>
        <v>M</v>
      </c>
    </row>
    <row r="5" spans="1:15" x14ac:dyDescent="0.25">
      <c r="A5" s="3" t="s">
        <v>18</v>
      </c>
      <c r="B5" t="str">
        <f>VLOOKUP(TabMove[[#This Row],[CodCliente]],TabCliente[],2)</f>
        <v>Breno</v>
      </c>
      <c r="C5">
        <v>4</v>
      </c>
      <c r="D5">
        <f>VLOOKUP(TabMove[[#This Row],[CodCliente]],TabCliente[],3)</f>
        <v>17</v>
      </c>
      <c r="E5" t="str">
        <f>IF(TabMove[[#This Row],[Idade]]&lt;=18,"&lt;=18",IF(TabMove[[#This Row],[Idade]]&lt;=30,"18 - 30",IF(TabMove[[#This Row],[Idade]]&lt;=40,"31 - 40","&gt;41")))</f>
        <v>&lt;=18</v>
      </c>
      <c r="F5" t="str">
        <f>VLOOKUP(TabMove[[#This Row],[CodCliente]],TabCliente[],4)</f>
        <v>M</v>
      </c>
      <c r="I5" s="6">
        <v>270</v>
      </c>
      <c r="K5" s="7" t="s">
        <v>32</v>
      </c>
      <c r="L5" s="8" t="s">
        <v>34</v>
      </c>
      <c r="M5" s="11">
        <f>COUNTIF(TabMove[CodCliente],M2)</f>
        <v>6</v>
      </c>
      <c r="N5" s="11">
        <f>COUNTIF(TabMove[Nome],N2)</f>
        <v>0</v>
      </c>
      <c r="O5" s="11">
        <f>COUNTIF(TabMove[Numero],O2)</f>
        <v>1</v>
      </c>
    </row>
    <row r="6" spans="1:15" x14ac:dyDescent="0.25">
      <c r="A6" s="3" t="s">
        <v>20</v>
      </c>
      <c r="B6" s="5" t="str">
        <f>VLOOKUP(TabMove[[#This Row],[CodCliente]],TabCliente[],2)</f>
        <v>Carol</v>
      </c>
      <c r="C6">
        <v>5</v>
      </c>
      <c r="D6" s="5">
        <f>VLOOKUP(TabMove[[#This Row],[CodCliente]],TabCliente[],3)</f>
        <v>15</v>
      </c>
      <c r="E6" s="5" t="str">
        <f>IF(TabMove[[#This Row],[Idade]]&lt;=18,"&lt;=18",IF(TabMove[[#This Row],[Idade]]&lt;=30,"18 - 30",IF(TabMove[[#This Row],[Idade]]&lt;=40,"31 - 40","&gt;41")))</f>
        <v>&lt;=18</v>
      </c>
      <c r="F6" s="5" t="str">
        <f>VLOOKUP(TabMove[[#This Row],[CodCliente]],TabCliente[],4)</f>
        <v>F</v>
      </c>
      <c r="I6" s="6">
        <v>269</v>
      </c>
      <c r="K6" s="7" t="s">
        <v>30</v>
      </c>
      <c r="L6" s="8" t="s">
        <v>36</v>
      </c>
      <c r="M6" s="6">
        <f ca="1">SUMIF(TabMove[],M2,TabMove[Valor])</f>
        <v>2229</v>
      </c>
      <c r="N6" s="6">
        <f ca="1">SUMIF(TabMove[],N2,TabMove[CodCliente])</f>
        <v>2</v>
      </c>
      <c r="O6" s="6">
        <f ca="1">SUMIF(TabMove[],O2,TabMove[Nome])</f>
        <v>22</v>
      </c>
    </row>
    <row r="7" spans="1:15" x14ac:dyDescent="0.25">
      <c r="A7" s="3" t="s">
        <v>4</v>
      </c>
      <c r="B7" s="5" t="str">
        <f>VLOOKUP(TabMove[[#This Row],[CodCliente]],TabCliente[],2)</f>
        <v>Ayrton</v>
      </c>
      <c r="C7">
        <v>6</v>
      </c>
      <c r="D7" s="5">
        <f>VLOOKUP(TabMove[[#This Row],[CodCliente]],TabCliente[],3)</f>
        <v>55</v>
      </c>
      <c r="E7" s="5" t="str">
        <f>IF(TabMove[[#This Row],[Idade]]&lt;=18,"&lt;=18",IF(TabMove[[#This Row],[Idade]]&lt;=30,"18 - 30",IF(TabMove[[#This Row],[Idade]]&lt;=40,"31 - 40","&gt;41")))</f>
        <v>&gt;41</v>
      </c>
      <c r="F7" s="5" t="str">
        <f>VLOOKUP(TabMove[[#This Row],[CodCliente]],TabCliente[],4)</f>
        <v>M</v>
      </c>
      <c r="I7" s="6">
        <v>10</v>
      </c>
      <c r="K7" s="7" t="s">
        <v>31</v>
      </c>
      <c r="L7" s="8" t="s">
        <v>37</v>
      </c>
      <c r="M7" s="6">
        <f ca="1">AVERAGEIF(TabMove[],M2,TabMove[Valor])</f>
        <v>371.5</v>
      </c>
      <c r="N7" s="6">
        <f ca="1">AVERAGEIF(TabMove[],N2,TabMove[CodCliente])</f>
        <v>2</v>
      </c>
      <c r="O7" s="6">
        <f ca="1">AVERAGEIF(TabMove[],O2,TabMove[Nome])</f>
        <v>22</v>
      </c>
    </row>
    <row r="8" spans="1:15" x14ac:dyDescent="0.25">
      <c r="A8" s="3" t="s">
        <v>4</v>
      </c>
      <c r="B8" s="5" t="str">
        <f>VLOOKUP(TabMove[[#This Row],[CodCliente]],TabCliente[],2)</f>
        <v>Ayrton</v>
      </c>
      <c r="C8">
        <v>7</v>
      </c>
      <c r="D8" s="5">
        <f>VLOOKUP(TabMove[[#This Row],[CodCliente]],TabCliente[],3)</f>
        <v>55</v>
      </c>
      <c r="E8" s="5" t="str">
        <f>IF(TabMove[[#This Row],[Idade]]&lt;=18,"&lt;=18",IF(TabMove[[#This Row],[Idade]]&lt;=30,"18 - 30",IF(TabMove[[#This Row],[Idade]]&lt;=40,"31 - 40","&gt;41")))</f>
        <v>&gt;41</v>
      </c>
      <c r="F8" s="5" t="str">
        <f>VLOOKUP(TabMove[[#This Row],[CodCliente]],TabCliente[],4)</f>
        <v>M</v>
      </c>
      <c r="I8" s="6">
        <v>1000</v>
      </c>
      <c r="K8"/>
    </row>
    <row r="9" spans="1:15" x14ac:dyDescent="0.25">
      <c r="A9" s="3" t="s">
        <v>4</v>
      </c>
      <c r="B9" s="5" t="str">
        <f>VLOOKUP(TabMove[[#This Row],[CodCliente]],TabCliente[],2)</f>
        <v>Ayrton</v>
      </c>
      <c r="C9">
        <v>8</v>
      </c>
      <c r="D9" s="5">
        <f>VLOOKUP(TabMove[[#This Row],[CodCliente]],TabCliente[],3)</f>
        <v>55</v>
      </c>
      <c r="E9" s="5" t="str">
        <f>IF(TabMove[[#This Row],[Idade]]&lt;=18,"&lt;=18",IF(TabMove[[#This Row],[Idade]]&lt;=30,"18 - 30",IF(TabMove[[#This Row],[Idade]]&lt;=40,"31 - 40","&gt;41")))</f>
        <v>&gt;41</v>
      </c>
      <c r="F9" s="5" t="str">
        <f>VLOOKUP(TabMove[[#This Row],[CodCliente]],TabCliente[],4)</f>
        <v>M</v>
      </c>
      <c r="I9" s="6">
        <v>40</v>
      </c>
      <c r="K9"/>
    </row>
    <row r="10" spans="1:15" x14ac:dyDescent="0.25">
      <c r="A10" s="3" t="s">
        <v>4</v>
      </c>
      <c r="B10" s="5" t="str">
        <f>VLOOKUP(TabMove[[#This Row],[CodCliente]],TabCliente[],2)</f>
        <v>Ayrton</v>
      </c>
      <c r="C10">
        <v>9</v>
      </c>
      <c r="D10" s="5">
        <f>VLOOKUP(TabMove[[#This Row],[CodCliente]],TabCliente[],3)</f>
        <v>55</v>
      </c>
      <c r="E10" s="5" t="str">
        <f>IF(TabMove[[#This Row],[Idade]]&lt;=18,"&lt;=18",IF(TabMove[[#This Row],[Idade]]&lt;=30,"18 - 30",IF(TabMove[[#This Row],[Idade]]&lt;=40,"31 - 40","&gt;41")))</f>
        <v>&gt;41</v>
      </c>
      <c r="F10" s="5" t="str">
        <f>VLOOKUP(TabMove[[#This Row],[CodCliente]],TabCliente[],4)</f>
        <v>M</v>
      </c>
      <c r="I10" s="6">
        <v>4</v>
      </c>
      <c r="K10"/>
    </row>
    <row r="11" spans="1:15" x14ac:dyDescent="0.25">
      <c r="A11" s="3" t="s">
        <v>9</v>
      </c>
      <c r="B11" s="5" t="str">
        <f>VLOOKUP(TabMove[[#This Row],[CodCliente]],TabCliente[],2)</f>
        <v>Marta</v>
      </c>
      <c r="C11">
        <v>10</v>
      </c>
      <c r="D11" s="5">
        <f>VLOOKUP(TabMove[[#This Row],[CodCliente]],TabCliente[],3)</f>
        <v>51</v>
      </c>
      <c r="E11" s="5" t="str">
        <f>IF(TabMove[[#This Row],[Idade]]&lt;=18,"&lt;=18",IF(TabMove[[#This Row],[Idade]]&lt;=30,"18 - 30",IF(TabMove[[#This Row],[Idade]]&lt;=40,"31 - 40","&gt;41")))</f>
        <v>&gt;41</v>
      </c>
      <c r="F11" s="5" t="str">
        <f>VLOOKUP(TabMove[[#This Row],[CodCliente]],TabCliente[],4)</f>
        <v>F</v>
      </c>
      <c r="I11" s="6">
        <v>5</v>
      </c>
      <c r="K11"/>
    </row>
    <row r="12" spans="1:15" x14ac:dyDescent="0.25">
      <c r="A12" s="3" t="s">
        <v>39</v>
      </c>
      <c r="B12" s="5" t="str">
        <f>VLOOKUP(TabMove[[#This Row],[CodCliente]],TabCliente[],2)</f>
        <v>Gabryel</v>
      </c>
      <c r="C12" s="5"/>
      <c r="D12" s="5">
        <f>VLOOKUP(TabMove[[#This Row],[CodCliente]],TabCliente[],3)</f>
        <v>24</v>
      </c>
      <c r="E12" s="5" t="str">
        <f>IF(TabMove[[#This Row],[Idade]]&lt;=18,"&lt;=18",IF(TabMove[[#This Row],[Idade]]&lt;=30,"18 - 30",IF(TabMove[[#This Row],[Idade]]&lt;=40,"31 - 40","&gt;41")))</f>
        <v>18 - 30</v>
      </c>
      <c r="F12" s="5" t="str">
        <f>VLOOKUP(TabMove[[#This Row],[CodCliente]],TabCliente[],4)</f>
        <v>M</v>
      </c>
      <c r="I12" s="6">
        <v>999</v>
      </c>
    </row>
    <row r="13" spans="1:15" x14ac:dyDescent="0.25">
      <c r="A13" s="3" t="s">
        <v>44</v>
      </c>
      <c r="B13" s="5" t="str">
        <f>VLOOKUP(TabMove[[#This Row],[CodCliente]],TabCliente[],2)</f>
        <v>Raphael</v>
      </c>
      <c r="C13" s="5"/>
      <c r="D13" s="5">
        <f>VLOOKUP(TabMove[[#This Row],[CodCliente]],TabCliente[],3)</f>
        <v>24</v>
      </c>
      <c r="E13" s="5" t="str">
        <f>IF(TabMove[[#This Row],[Idade]]&lt;=18,"&lt;=18",IF(TabMove[[#This Row],[Idade]]&lt;=30,"18 - 30",IF(TabMove[[#This Row],[Idade]]&lt;=40,"31 - 40","&gt;41")))</f>
        <v>18 - 30</v>
      </c>
      <c r="F13" s="5" t="str">
        <f>VLOOKUP(TabMove[[#This Row],[CodCliente]],TabCliente[],4)</f>
        <v>M</v>
      </c>
      <c r="I13" s="6">
        <v>1255</v>
      </c>
    </row>
    <row r="14" spans="1:15" x14ac:dyDescent="0.25">
      <c r="A14" s="3" t="s">
        <v>47</v>
      </c>
      <c r="B14" s="5" t="str">
        <f>VLOOKUP(TabMove[[#This Row],[CodCliente]],TabCliente[],2)</f>
        <v>Bruno</v>
      </c>
      <c r="C14" s="5"/>
      <c r="D14" s="5">
        <f>VLOOKUP(TabMove[[#This Row],[CodCliente]],TabCliente[],3)</f>
        <v>22</v>
      </c>
      <c r="E14" s="5" t="str">
        <f>IF(TabMove[[#This Row],[Idade]]&lt;=18,"&lt;=18",IF(TabMove[[#This Row],[Idade]]&lt;=30,"18 - 30",IF(TabMove[[#This Row],[Idade]]&lt;=40,"31 - 40","&gt;41")))</f>
        <v>18 - 30</v>
      </c>
      <c r="F14" s="5" t="str">
        <f>VLOOKUP(TabMove[[#This Row],[CodCliente]],TabCliente[],4)</f>
        <v>m</v>
      </c>
      <c r="I14" s="6">
        <v>199</v>
      </c>
    </row>
    <row r="15" spans="1:15" x14ac:dyDescent="0.25">
      <c r="A15" s="3" t="s">
        <v>39</v>
      </c>
      <c r="B15" s="5" t="str">
        <f>VLOOKUP(TabMove[[#This Row],[CodCliente]],TabCliente[],2)</f>
        <v>Gabryel</v>
      </c>
      <c r="C15" s="5"/>
      <c r="D15" s="5">
        <f>VLOOKUP(TabMove[[#This Row],[CodCliente]],TabCliente[],3)</f>
        <v>24</v>
      </c>
      <c r="E15" s="5" t="str">
        <f>IF(TabMove[[#This Row],[Idade]]&lt;=18,"&lt;=18",IF(TabMove[[#This Row],[Idade]]&lt;=30,"18 - 30",IF(TabMove[[#This Row],[Idade]]&lt;=40,"31 - 40","&gt;41")))</f>
        <v>18 - 30</v>
      </c>
      <c r="F15" s="5" t="str">
        <f>VLOOKUP(TabMove[[#This Row],[CodCliente]],TabCliente[],4)</f>
        <v>M</v>
      </c>
      <c r="I15" s="6">
        <v>900</v>
      </c>
    </row>
    <row r="16" spans="1:15" x14ac:dyDescent="0.25">
      <c r="A16" s="3" t="s">
        <v>47</v>
      </c>
      <c r="B16" s="5" t="str">
        <f>VLOOKUP(TabMove[[#This Row],[CodCliente]],TabCliente[],2)</f>
        <v>Bruno</v>
      </c>
      <c r="C16" s="5"/>
      <c r="D16" s="5">
        <f>VLOOKUP(TabMove[[#This Row],[CodCliente]],TabCliente[],3)</f>
        <v>22</v>
      </c>
      <c r="E16" s="5" t="str">
        <f>IF(TabMove[[#This Row],[Idade]]&lt;=18,"&lt;=18",IF(TabMove[[#This Row],[Idade]]&lt;=30,"18 - 30",IF(TabMove[[#This Row],[Idade]]&lt;=40,"31 - 40","&gt;41")))</f>
        <v>18 - 30</v>
      </c>
      <c r="F16" s="5" t="str">
        <f>VLOOKUP(TabMove[[#This Row],[CodCliente]],TabCliente[],4)</f>
        <v>m</v>
      </c>
      <c r="I16" s="6">
        <v>1333</v>
      </c>
    </row>
    <row r="17" spans="1:10" x14ac:dyDescent="0.25">
      <c r="A17" s="3" t="s">
        <v>9</v>
      </c>
      <c r="B17" s="5" t="str">
        <f>VLOOKUP(TabMove[[#This Row],[CodCliente]],TabCliente[],2)</f>
        <v>Marta</v>
      </c>
      <c r="C17" s="5"/>
      <c r="D17" s="5">
        <f>VLOOKUP(TabMove[[#This Row],[CodCliente]],TabCliente[],3)</f>
        <v>51</v>
      </c>
      <c r="E17" s="5" t="str">
        <f>IF(TabMove[[#This Row],[Idade]]&lt;=18,"&lt;=18",IF(TabMove[[#This Row],[Idade]]&lt;=30,"18 - 30",IF(TabMove[[#This Row],[Idade]]&lt;=40,"31 - 40","&gt;41")))</f>
        <v>&gt;41</v>
      </c>
      <c r="F17" s="5" t="str">
        <f>VLOOKUP(TabMove[[#This Row],[CodCliente]],TabCliente[],4)</f>
        <v>F</v>
      </c>
      <c r="I17" s="6">
        <v>88</v>
      </c>
    </row>
    <row r="18" spans="1:10" x14ac:dyDescent="0.25">
      <c r="A18" s="13" t="s">
        <v>4</v>
      </c>
      <c r="B18" s="5" t="str">
        <f>VLOOKUP(TabMove[[#This Row],[CodCliente]],TabCliente[],2)</f>
        <v>Ayrton</v>
      </c>
      <c r="C18" s="5"/>
      <c r="D18" s="5">
        <f>VLOOKUP(TabMove[[#This Row],[CodCliente]],TabCliente[],3)</f>
        <v>55</v>
      </c>
      <c r="E18" s="5" t="str">
        <f>IF(TabMove[[#This Row],[Idade]]&lt;=18,"&lt;=18",IF(TabMove[[#This Row],[Idade]]&lt;=30,"18 - 30",IF(TabMove[[#This Row],[Idade]]&lt;=40,"31 - 40","&gt;41")))</f>
        <v>&gt;41</v>
      </c>
      <c r="F18" s="5" t="str">
        <f>VLOOKUP(TabMove[[#This Row],[CodCliente]],TabCliente[],4)</f>
        <v>M</v>
      </c>
      <c r="I18" s="6">
        <v>1100</v>
      </c>
      <c r="J18" s="5"/>
    </row>
    <row r="19" spans="1:10" x14ac:dyDescent="0.25">
      <c r="C19"/>
    </row>
    <row r="20" spans="1:10" x14ac:dyDescent="0.25">
      <c r="C20"/>
      <c r="G20" s="14"/>
    </row>
    <row r="21" spans="1:10" x14ac:dyDescent="0.25">
      <c r="C21"/>
    </row>
    <row r="22" spans="1:10" x14ac:dyDescent="0.25">
      <c r="C22"/>
    </row>
    <row r="23" spans="1:10" x14ac:dyDescent="0.25">
      <c r="C23"/>
    </row>
    <row r="24" spans="1:10" x14ac:dyDescent="0.25">
      <c r="C24"/>
    </row>
    <row r="25" spans="1:10" x14ac:dyDescent="0.25">
      <c r="C25"/>
    </row>
    <row r="26" spans="1:10" x14ac:dyDescent="0.25">
      <c r="C26"/>
    </row>
    <row r="27" spans="1:10" x14ac:dyDescent="0.25">
      <c r="C27"/>
    </row>
    <row r="28" spans="1:10" x14ac:dyDescent="0.25">
      <c r="C28"/>
    </row>
    <row r="29" spans="1:10" x14ac:dyDescent="0.25">
      <c r="C29"/>
    </row>
    <row r="30" spans="1:10" x14ac:dyDescent="0.25">
      <c r="C30"/>
    </row>
    <row r="31" spans="1:10" x14ac:dyDescent="0.25">
      <c r="C31"/>
    </row>
    <row r="32" spans="1:10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</sheetData>
  <dataValidations count="2">
    <dataValidation type="list" allowBlank="1" showInputMessage="1" showErrorMessage="1" sqref="G2" xr:uid="{00000000-0002-0000-0100-000000000000}">
      <formula1>Lojas</formula1>
    </dataValidation>
    <dataValidation type="list" allowBlank="1" showInputMessage="1" showErrorMessage="1" sqref="H2" xr:uid="{00000000-0002-0000-0100-000001000000}">
      <formula1>Produtos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E10"/>
  <sheetViews>
    <sheetView workbookViewId="0"/>
  </sheetViews>
  <sheetFormatPr defaultRowHeight="15" x14ac:dyDescent="0.25"/>
  <cols>
    <col min="1" max="1" width="11.5703125" style="3" customWidth="1"/>
    <col min="5" max="5" width="18.140625" style="6" customWidth="1"/>
  </cols>
  <sheetData>
    <row r="1" spans="1:5" x14ac:dyDescent="0.25">
      <c r="A1" s="3" t="s">
        <v>0</v>
      </c>
      <c r="B1" t="s">
        <v>1</v>
      </c>
      <c r="C1" t="s">
        <v>2</v>
      </c>
      <c r="D1" t="s">
        <v>3</v>
      </c>
      <c r="E1" s="6" t="s">
        <v>38</v>
      </c>
    </row>
    <row r="2" spans="1:5" x14ac:dyDescent="0.25">
      <c r="A2" s="1" t="s">
        <v>4</v>
      </c>
      <c r="B2" t="s">
        <v>5</v>
      </c>
      <c r="C2">
        <v>55</v>
      </c>
      <c r="D2" t="s">
        <v>6</v>
      </c>
      <c r="E2" s="6">
        <f ca="1">AVERAGEIF(TabMove[],A2,TabMove[Valor])</f>
        <v>371.5</v>
      </c>
    </row>
    <row r="3" spans="1:5" x14ac:dyDescent="0.25">
      <c r="A3" s="2" t="s">
        <v>9</v>
      </c>
      <c r="B3" t="s">
        <v>7</v>
      </c>
      <c r="C3">
        <v>51</v>
      </c>
      <c r="D3" t="s">
        <v>8</v>
      </c>
      <c r="E3" s="6">
        <f ca="1">AVERAGEIF(TabMove[],A3,TabMove[Valor])</f>
        <v>419.33333333333331</v>
      </c>
    </row>
    <row r="4" spans="1:5" x14ac:dyDescent="0.25">
      <c r="A4" s="2" t="s">
        <v>10</v>
      </c>
      <c r="B4" t="s">
        <v>11</v>
      </c>
      <c r="C4">
        <v>22</v>
      </c>
      <c r="D4" t="s">
        <v>6</v>
      </c>
      <c r="E4" s="6">
        <f ca="1">AVERAGEIF(TabMove[],A4,TabMove[Valor])</f>
        <v>295</v>
      </c>
    </row>
    <row r="5" spans="1:5" x14ac:dyDescent="0.25">
      <c r="A5" s="1" t="s">
        <v>18</v>
      </c>
      <c r="B5" t="s">
        <v>19</v>
      </c>
      <c r="C5">
        <v>17</v>
      </c>
      <c r="D5" t="s">
        <v>6</v>
      </c>
      <c r="E5" s="6">
        <f ca="1">AVERAGEIF(TabMove[],A5,TabMove[Valor])</f>
        <v>270</v>
      </c>
    </row>
    <row r="6" spans="1:5" x14ac:dyDescent="0.25">
      <c r="A6" s="1" t="s">
        <v>20</v>
      </c>
      <c r="B6" t="s">
        <v>21</v>
      </c>
      <c r="C6">
        <v>15</v>
      </c>
      <c r="D6" t="s">
        <v>8</v>
      </c>
      <c r="E6" s="6">
        <f ca="1">AVERAGEIF(TabMove[],A6,TabMove[Valor])</f>
        <v>269</v>
      </c>
    </row>
    <row r="7" spans="1:5" x14ac:dyDescent="0.25">
      <c r="A7" s="1" t="s">
        <v>39</v>
      </c>
      <c r="B7" t="s">
        <v>40</v>
      </c>
      <c r="C7">
        <v>24</v>
      </c>
      <c r="D7" t="s">
        <v>6</v>
      </c>
      <c r="E7" s="9">
        <f ca="1">AVERAGEIF(TabMove[],A7,TabMove[Valor])</f>
        <v>949.5</v>
      </c>
    </row>
    <row r="8" spans="1:5" x14ac:dyDescent="0.25">
      <c r="A8" s="1" t="s">
        <v>44</v>
      </c>
      <c r="B8" t="s">
        <v>45</v>
      </c>
      <c r="C8">
        <v>24</v>
      </c>
      <c r="D8" t="s">
        <v>6</v>
      </c>
      <c r="E8" s="9">
        <f ca="1">AVERAGEIF(TabMove[],A8,TabMove[Valor])</f>
        <v>1255</v>
      </c>
    </row>
    <row r="9" spans="1:5" x14ac:dyDescent="0.25">
      <c r="A9" s="1" t="s">
        <v>47</v>
      </c>
      <c r="B9" t="s">
        <v>48</v>
      </c>
      <c r="C9">
        <v>22</v>
      </c>
      <c r="D9" t="s">
        <v>46</v>
      </c>
      <c r="E9" s="9">
        <f ca="1">AVERAGEIF(TabMove[],A9,TabMove[Valor])</f>
        <v>766</v>
      </c>
    </row>
    <row r="10" spans="1:5" x14ac:dyDescent="0.25">
      <c r="A10" s="2"/>
      <c r="E10" s="9"/>
    </row>
  </sheetData>
  <dataValidations count="2">
    <dataValidation type="list" allowBlank="1" showInputMessage="1" showErrorMessage="1" sqref="F1 D1" xr:uid="{00000000-0002-0000-0000-000000000000}">
      <formula1>Sexo</formula1>
    </dataValidation>
    <dataValidation type="list" allowBlank="1" showInputMessage="1" showErrorMessage="1" sqref="F2 D2" xr:uid="{00000000-0002-0000-0000-000001000000}">
      <formula1>"Sexo"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A13"/>
  <sheetViews>
    <sheetView workbookViewId="0"/>
  </sheetViews>
  <sheetFormatPr defaultRowHeight="15" x14ac:dyDescent="0.25"/>
  <sheetData>
    <row r="1" spans="1:1" x14ac:dyDescent="0.25">
      <c r="A1" t="s">
        <v>3</v>
      </c>
    </row>
    <row r="2" spans="1:1" x14ac:dyDescent="0.25">
      <c r="A2" s="4" t="s">
        <v>6</v>
      </c>
    </row>
    <row r="3" spans="1:1" x14ac:dyDescent="0.25">
      <c r="A3" s="4" t="s">
        <v>8</v>
      </c>
    </row>
    <row r="5" spans="1:1" x14ac:dyDescent="0.25">
      <c r="A5" t="s">
        <v>22</v>
      </c>
    </row>
    <row r="6" spans="1:1" x14ac:dyDescent="0.25">
      <c r="A6" t="s">
        <v>23</v>
      </c>
    </row>
    <row r="7" spans="1:1" x14ac:dyDescent="0.25">
      <c r="A7" t="s">
        <v>24</v>
      </c>
    </row>
    <row r="8" spans="1:1" x14ac:dyDescent="0.25">
      <c r="A8" t="s">
        <v>25</v>
      </c>
    </row>
    <row r="10" spans="1:1" x14ac:dyDescent="0.25">
      <c r="A10" t="s">
        <v>26</v>
      </c>
    </row>
    <row r="11" spans="1:1" x14ac:dyDescent="0.25">
      <c r="A11" t="s">
        <v>27</v>
      </c>
    </row>
    <row r="12" spans="1:1" x14ac:dyDescent="0.25">
      <c r="A12" t="s">
        <v>50</v>
      </c>
    </row>
    <row r="13" spans="1:1" x14ac:dyDescent="0.25">
      <c r="A13" t="s">
        <v>28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02627-E773-440E-960D-A9FC041AB2E7}">
  <dimension ref="A1:Q11"/>
  <sheetViews>
    <sheetView workbookViewId="0">
      <selection activeCell="E18" sqref="E18"/>
    </sheetView>
  </sheetViews>
  <sheetFormatPr defaultRowHeight="15" x14ac:dyDescent="0.25"/>
  <cols>
    <col min="1" max="1" width="14.85546875" bestFit="1" customWidth="1"/>
    <col min="12" max="12" width="9.140625" customWidth="1"/>
    <col min="17" max="17" width="11" bestFit="1" customWidth="1"/>
  </cols>
  <sheetData>
    <row r="1" spans="1:17" x14ac:dyDescent="0.25">
      <c r="A1" s="32" t="s">
        <v>84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25">
      <c r="A2" s="34">
        <v>98765432100</v>
      </c>
      <c r="B2" s="33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x14ac:dyDescent="0.25">
      <c r="B3" s="16"/>
      <c r="C3" s="16"/>
      <c r="D3" s="16"/>
      <c r="E3" s="16"/>
      <c r="F3" s="16"/>
      <c r="G3" s="16"/>
      <c r="H3" s="16"/>
      <c r="I3" s="16"/>
      <c r="J3" s="16"/>
      <c r="K3" s="16"/>
      <c r="L3" s="30" t="s">
        <v>78</v>
      </c>
      <c r="M3" s="30" t="s">
        <v>77</v>
      </c>
    </row>
    <row r="4" spans="1:17" x14ac:dyDescent="0.25">
      <c r="A4" s="31" t="s">
        <v>83</v>
      </c>
      <c r="B4" s="16"/>
      <c r="C4" s="20">
        <f t="array" ref="C4:M4">VALUE(MID(A2,COLUMN(A:M),1))</f>
        <v>9</v>
      </c>
      <c r="D4" s="20">
        <v>8</v>
      </c>
      <c r="E4" s="20">
        <v>7</v>
      </c>
      <c r="F4" s="20">
        <v>6</v>
      </c>
      <c r="G4" s="20">
        <v>5</v>
      </c>
      <c r="H4" s="20">
        <v>4</v>
      </c>
      <c r="I4" s="20">
        <v>3</v>
      </c>
      <c r="J4" s="20">
        <v>2</v>
      </c>
      <c r="K4" s="20">
        <v>1</v>
      </c>
      <c r="L4" s="32">
        <v>0</v>
      </c>
      <c r="M4" s="32">
        <v>0</v>
      </c>
      <c r="N4" s="16"/>
      <c r="O4" s="16"/>
      <c r="P4" s="16"/>
      <c r="Q4" s="16"/>
    </row>
    <row r="5" spans="1:17" x14ac:dyDescent="0.25">
      <c r="A5" s="31" t="str">
        <f>IF(AND(Q6="VALIDO",Q7="VALIDO"),"VALIDO","INVALIDO")</f>
        <v>VALIDO</v>
      </c>
      <c r="B5" s="16"/>
      <c r="C5" s="30">
        <v>1</v>
      </c>
      <c r="D5" s="30">
        <v>2</v>
      </c>
      <c r="E5" s="30">
        <v>3</v>
      </c>
      <c r="F5" s="30">
        <v>4</v>
      </c>
      <c r="G5" s="30">
        <v>5</v>
      </c>
      <c r="H5" s="30">
        <v>6</v>
      </c>
      <c r="I5" s="30">
        <v>7</v>
      </c>
      <c r="J5" s="30">
        <v>8</v>
      </c>
      <c r="K5" s="30">
        <v>9</v>
      </c>
      <c r="L5" s="30">
        <v>10</v>
      </c>
      <c r="M5" s="30">
        <v>11</v>
      </c>
      <c r="N5" s="16" t="s">
        <v>82</v>
      </c>
      <c r="O5" s="16" t="s">
        <v>81</v>
      </c>
      <c r="P5" s="16" t="s">
        <v>80</v>
      </c>
      <c r="Q5" s="16" t="s">
        <v>79</v>
      </c>
    </row>
    <row r="6" spans="1:17" x14ac:dyDescent="0.25">
      <c r="B6" s="16" t="s">
        <v>78</v>
      </c>
      <c r="C6" s="20">
        <f>C4*L5</f>
        <v>90</v>
      </c>
      <c r="D6" s="20">
        <f>D4*K5</f>
        <v>72</v>
      </c>
      <c r="E6" s="20">
        <f>E4*J5</f>
        <v>56</v>
      </c>
      <c r="F6" s="20">
        <f>F4*I5</f>
        <v>42</v>
      </c>
      <c r="G6" s="20">
        <f>G4*H5</f>
        <v>30</v>
      </c>
      <c r="H6" s="20">
        <f>H4*G5</f>
        <v>20</v>
      </c>
      <c r="I6" s="20">
        <f>I4*F5</f>
        <v>12</v>
      </c>
      <c r="J6" s="20">
        <f>J4*E5</f>
        <v>6</v>
      </c>
      <c r="K6" s="20">
        <f>K4*D5</f>
        <v>2</v>
      </c>
      <c r="L6" s="29"/>
      <c r="M6" s="29"/>
      <c r="N6" s="20">
        <f>SUM(C6:M6)</f>
        <v>330</v>
      </c>
      <c r="O6" s="20">
        <f>MOD(N6,11)</f>
        <v>0</v>
      </c>
      <c r="P6" s="20">
        <f>IF(O6&lt;2,0,11-O6)</f>
        <v>0</v>
      </c>
      <c r="Q6" s="20" t="str">
        <f>IF(P6=L4,"VALIDO","INVALIDO")</f>
        <v>VALIDO</v>
      </c>
    </row>
    <row r="7" spans="1:17" x14ac:dyDescent="0.25">
      <c r="B7" s="16" t="s">
        <v>77</v>
      </c>
      <c r="C7" s="20">
        <f>M5*C4</f>
        <v>99</v>
      </c>
      <c r="D7" s="20">
        <f>L5*D4</f>
        <v>80</v>
      </c>
      <c r="E7" s="20">
        <f>K5*E4</f>
        <v>63</v>
      </c>
      <c r="F7" s="20">
        <f>J5*F4</f>
        <v>48</v>
      </c>
      <c r="G7" s="20">
        <f>I5*G4</f>
        <v>35</v>
      </c>
      <c r="H7" s="20">
        <f>H5*H4</f>
        <v>24</v>
      </c>
      <c r="I7" s="20">
        <f>G5*I4</f>
        <v>15</v>
      </c>
      <c r="J7" s="20">
        <f>F5*J4</f>
        <v>8</v>
      </c>
      <c r="K7" s="20">
        <f>E5*K4</f>
        <v>3</v>
      </c>
      <c r="L7" s="20">
        <f>D5*P6</f>
        <v>0</v>
      </c>
      <c r="M7" s="29"/>
      <c r="N7" s="20">
        <f>SUM(C7:M7)</f>
        <v>375</v>
      </c>
      <c r="O7" s="20">
        <f>MOD(N7,11)</f>
        <v>1</v>
      </c>
      <c r="P7" s="20">
        <f>IF(O7&lt;2,0,11-O7)</f>
        <v>0</v>
      </c>
      <c r="Q7" s="20" t="str">
        <f>IF(P7=M4,"VALIDO","INVALIDO")</f>
        <v>VALIDO</v>
      </c>
    </row>
    <row r="8" spans="1:17" x14ac:dyDescent="0.25"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spans="1:17" x14ac:dyDescent="0.25"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 spans="1:17" x14ac:dyDescent="0.25"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</row>
    <row r="11" spans="1:17" x14ac:dyDescent="0.25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</sheetData>
  <conditionalFormatting sqref="A5">
    <cfRule type="expression" dxfId="26" priority="3">
      <formula>A5="INVALIDO"</formula>
    </cfRule>
    <cfRule type="expression" dxfId="25" priority="4">
      <formula>A5="VALIDO"</formula>
    </cfRule>
  </conditionalFormatting>
  <conditionalFormatting sqref="Q6:Q7">
    <cfRule type="expression" dxfId="24" priority="1">
      <formula>Q6="VALIDO"</formula>
    </cfRule>
    <cfRule type="expression" dxfId="23" priority="2">
      <formula>Q6="INVALIDO"</formula>
    </cfRule>
  </conditionalFormatting>
  <dataValidations count="1">
    <dataValidation allowBlank="1" showInputMessage="1" showErrorMessage="1" errorTitle="CPF" error="CPF é composto por 11 dígitos!" sqref="A2" xr:uid="{D930AC2F-FD37-4329-A6B5-322BDA3724EE}"/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95CB0-3EB7-4AA9-8D6A-8AE99A61E415}">
  <dimension ref="A1:R7"/>
  <sheetViews>
    <sheetView workbookViewId="0">
      <selection activeCell="E18" sqref="E18"/>
    </sheetView>
  </sheetViews>
  <sheetFormatPr defaultRowHeight="15" x14ac:dyDescent="0.25"/>
  <cols>
    <col min="1" max="1" width="18.140625" customWidth="1"/>
    <col min="2" max="2" width="3.42578125" customWidth="1"/>
  </cols>
  <sheetData>
    <row r="1" spans="1:18" x14ac:dyDescent="0.25">
      <c r="A1" s="32" t="s">
        <v>85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8" x14ac:dyDescent="0.25">
      <c r="A2" s="39">
        <v>44455566000183</v>
      </c>
      <c r="B2" s="33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8" x14ac:dyDescent="0.25">
      <c r="B3" s="16"/>
      <c r="C3" s="16"/>
      <c r="D3" s="16"/>
      <c r="E3" s="16"/>
      <c r="F3" s="16"/>
      <c r="G3" s="16"/>
      <c r="H3" s="16"/>
      <c r="I3" s="16"/>
      <c r="J3" s="16"/>
      <c r="K3" s="16"/>
      <c r="O3" s="38" t="s">
        <v>78</v>
      </c>
      <c r="P3" s="38" t="s">
        <v>77</v>
      </c>
    </row>
    <row r="4" spans="1:18" x14ac:dyDescent="0.25">
      <c r="A4" s="31" t="s">
        <v>83</v>
      </c>
      <c r="B4" s="16"/>
      <c r="C4" s="20">
        <f t="array" ref="C4:P4">VALUE(MID(A2,COLUMN(A:P),1))</f>
        <v>4</v>
      </c>
      <c r="D4" s="20">
        <v>4</v>
      </c>
      <c r="E4" s="20">
        <v>4</v>
      </c>
      <c r="F4" s="20">
        <v>5</v>
      </c>
      <c r="G4" s="20">
        <v>5</v>
      </c>
      <c r="H4" s="20">
        <v>5</v>
      </c>
      <c r="I4" s="20">
        <v>6</v>
      </c>
      <c r="J4" s="20">
        <v>6</v>
      </c>
      <c r="K4" s="20">
        <v>0</v>
      </c>
      <c r="L4" s="37">
        <v>0</v>
      </c>
      <c r="M4" s="37">
        <v>0</v>
      </c>
      <c r="N4" s="20">
        <v>1</v>
      </c>
      <c r="O4" s="32">
        <v>8</v>
      </c>
      <c r="P4" s="32">
        <v>3</v>
      </c>
      <c r="Q4" s="16"/>
    </row>
    <row r="5" spans="1:18" x14ac:dyDescent="0.25">
      <c r="A5" s="31" t="str">
        <f>IF(AND(R6="VALIDO",R7="VALIDO"),"VALIDO","INVALIDO")</f>
        <v>VALIDO</v>
      </c>
      <c r="B5" s="16"/>
      <c r="C5" s="30">
        <v>6</v>
      </c>
      <c r="D5" s="30">
        <v>7</v>
      </c>
      <c r="E5" s="30">
        <v>8</v>
      </c>
      <c r="F5" s="30">
        <v>9</v>
      </c>
      <c r="G5" s="30">
        <v>2</v>
      </c>
      <c r="H5" s="30">
        <v>3</v>
      </c>
      <c r="I5" s="30">
        <v>4</v>
      </c>
      <c r="J5" s="30">
        <v>5</v>
      </c>
      <c r="K5" s="30">
        <v>6</v>
      </c>
      <c r="L5" s="30">
        <v>7</v>
      </c>
      <c r="M5" s="30">
        <v>8</v>
      </c>
      <c r="N5" s="30">
        <v>9</v>
      </c>
      <c r="Q5" s="16" t="s">
        <v>81</v>
      </c>
      <c r="R5" s="16" t="s">
        <v>79</v>
      </c>
    </row>
    <row r="6" spans="1:18" x14ac:dyDescent="0.25">
      <c r="A6" s="35" t="s">
        <v>78</v>
      </c>
      <c r="C6" s="20">
        <f>C4*C5</f>
        <v>24</v>
      </c>
      <c r="D6" s="20">
        <f>D4*D5</f>
        <v>28</v>
      </c>
      <c r="E6" s="20">
        <f>E4*E5</f>
        <v>32</v>
      </c>
      <c r="F6" s="20">
        <f>F4*F5</f>
        <v>45</v>
      </c>
      <c r="G6" s="20">
        <f>G4*G5</f>
        <v>10</v>
      </c>
      <c r="H6" s="20">
        <f>H4*H5</f>
        <v>15</v>
      </c>
      <c r="I6" s="20">
        <f>I4*I5</f>
        <v>24</v>
      </c>
      <c r="J6" s="20">
        <f>J4*J5</f>
        <v>30</v>
      </c>
      <c r="K6" s="20">
        <f>K4*K5</f>
        <v>0</v>
      </c>
      <c r="L6" s="20">
        <f>L4*L5</f>
        <v>0</v>
      </c>
      <c r="M6" s="20">
        <f>M4*M5</f>
        <v>0</v>
      </c>
      <c r="N6" s="20">
        <f>N4*N5</f>
        <v>9</v>
      </c>
      <c r="O6" s="36"/>
      <c r="P6" s="20">
        <f>SUM(C6:N6)</f>
        <v>217</v>
      </c>
      <c r="Q6" s="20">
        <f>MOD(P6,11)</f>
        <v>8</v>
      </c>
      <c r="R6" s="20" t="str">
        <f>IF(O4=Q6,"VALIDO","INVALIDO")</f>
        <v>VALIDO</v>
      </c>
    </row>
    <row r="7" spans="1:18" x14ac:dyDescent="0.25">
      <c r="A7" s="35" t="s">
        <v>77</v>
      </c>
      <c r="C7" s="20">
        <f>C4*(C5-1)</f>
        <v>20</v>
      </c>
      <c r="D7" s="20">
        <f>D4*(D5-1)</f>
        <v>24</v>
      </c>
      <c r="E7" s="20">
        <f>E4*(E5-1)</f>
        <v>28</v>
      </c>
      <c r="F7" s="20">
        <f>F4*(F5-1)</f>
        <v>40</v>
      </c>
      <c r="G7" s="20">
        <f>G4*(F5)</f>
        <v>45</v>
      </c>
      <c r="H7" s="20">
        <f>H4*(G5)</f>
        <v>10</v>
      </c>
      <c r="I7" s="20">
        <f>I4*(H5)</f>
        <v>18</v>
      </c>
      <c r="J7" s="20">
        <f>J4*(I5)</f>
        <v>24</v>
      </c>
      <c r="K7" s="20">
        <f>K4*(J5)</f>
        <v>0</v>
      </c>
      <c r="L7" s="20">
        <f>L4*(K5)</f>
        <v>0</v>
      </c>
      <c r="M7" s="20">
        <f>M4*(L5)</f>
        <v>0</v>
      </c>
      <c r="N7" s="20">
        <f>N4*(M5)</f>
        <v>8</v>
      </c>
      <c r="O7" s="20">
        <f>O4*(N5)</f>
        <v>72</v>
      </c>
      <c r="P7" s="20">
        <f>SUM(C7:O7)</f>
        <v>289</v>
      </c>
      <c r="Q7" s="20">
        <f>MOD(P7,11)</f>
        <v>3</v>
      </c>
      <c r="R7" s="20" t="str">
        <f>IF(P4=Q7,"VALIDO","INVALIDO")</f>
        <v>VALIDO</v>
      </c>
    </row>
  </sheetData>
  <conditionalFormatting sqref="A5">
    <cfRule type="expression" dxfId="22" priority="3">
      <formula>A5="INVALIDO"</formula>
    </cfRule>
    <cfRule type="expression" dxfId="21" priority="4">
      <formula>A5="VALIDO"</formula>
    </cfRule>
  </conditionalFormatting>
  <conditionalFormatting sqref="R6:R7">
    <cfRule type="expression" dxfId="20" priority="1">
      <formula>R6="VALIDO"</formula>
    </cfRule>
    <cfRule type="expression" dxfId="19" priority="2">
      <formula>R6="INVALIDO"</formula>
    </cfRule>
  </conditionalFormatting>
  <dataValidations count="2">
    <dataValidation allowBlank="1" showInputMessage="1" showErrorMessage="1" errorTitle="CNPJ" error="CNPJ é composto por 14 dígitos!" sqref="A2" xr:uid="{9378ACE6-4392-4AA9-A9CF-2AC7B58A9AAA}"/>
    <dataValidation type="textLength" allowBlank="1" showInputMessage="1" showErrorMessage="1" sqref="A4" xr:uid="{82A44DA9-C56D-438A-99ED-5BB6A01541AB}">
      <formula1>14</formula1>
      <formula2>14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19180-65B3-41E3-B4CF-AF82C69EF907}">
  <dimension ref="B1:O11"/>
  <sheetViews>
    <sheetView workbookViewId="0">
      <selection activeCell="K20" sqref="K20"/>
    </sheetView>
  </sheetViews>
  <sheetFormatPr defaultRowHeight="15" x14ac:dyDescent="0.25"/>
  <cols>
    <col min="2" max="2" width="14.28515625" customWidth="1"/>
    <col min="3" max="3" width="37.5703125" bestFit="1" customWidth="1"/>
    <col min="4" max="5" width="6.7109375" customWidth="1"/>
    <col min="6" max="7" width="5.28515625" customWidth="1"/>
    <col min="8" max="8" width="8.85546875" customWidth="1"/>
    <col min="9" max="9" width="8.28515625" customWidth="1"/>
    <col min="10" max="10" width="13.85546875" bestFit="1" customWidth="1"/>
    <col min="11" max="11" width="13" style="79" customWidth="1"/>
    <col min="12" max="12" width="10.5703125" bestFit="1" customWidth="1"/>
  </cols>
  <sheetData>
    <row r="1" spans="2:15" x14ac:dyDescent="0.25">
      <c r="D1" s="96"/>
    </row>
    <row r="2" spans="2:15" x14ac:dyDescent="0.25">
      <c r="B2" s="83" t="s">
        <v>134</v>
      </c>
      <c r="C2" s="84" t="s">
        <v>1</v>
      </c>
      <c r="D2" s="87" t="s">
        <v>130</v>
      </c>
      <c r="E2" s="87" t="s">
        <v>131</v>
      </c>
      <c r="F2" s="87" t="s">
        <v>132</v>
      </c>
      <c r="G2" s="87" t="s">
        <v>133</v>
      </c>
      <c r="H2" s="87" t="s">
        <v>135</v>
      </c>
      <c r="I2" s="87" t="s">
        <v>140</v>
      </c>
      <c r="J2" s="87" t="s">
        <v>141</v>
      </c>
      <c r="K2" s="88" t="s">
        <v>139</v>
      </c>
      <c r="L2" s="89" t="s">
        <v>138</v>
      </c>
    </row>
    <row r="3" spans="2:15" ht="15" customHeight="1" x14ac:dyDescent="0.25">
      <c r="B3" s="85" t="s">
        <v>137</v>
      </c>
      <c r="C3" s="86" t="s">
        <v>136</v>
      </c>
      <c r="D3" s="56">
        <v>6</v>
      </c>
      <c r="E3" s="56">
        <v>1</v>
      </c>
      <c r="F3" s="56">
        <v>6</v>
      </c>
      <c r="G3" s="56">
        <v>10</v>
      </c>
      <c r="H3" s="56">
        <f>IF(OR(D3="",E3="",G3="",F3=""),"",((D3+E3)/2+F3+G3)/3)</f>
        <v>6.5</v>
      </c>
      <c r="I3" s="56">
        <v>1</v>
      </c>
      <c r="J3" s="80">
        <v>60</v>
      </c>
      <c r="K3" s="81">
        <f>IF(Tabela7[[#This Row],[Matrícula]]&lt;&gt;"",100-((I3*100)/J3),"")</f>
        <v>98.333333333333329</v>
      </c>
      <c r="L3" s="82" t="str">
        <f>IF(H3&lt;&gt;"",IF(OR(K3&lt;75,H3&lt;6),"Reprovado","Aprovado"),IF(Tabela7[[#This Row],[Matrícula]]&lt;&gt;0,"Cursando",""))</f>
        <v>Aprovado</v>
      </c>
    </row>
    <row r="4" spans="2:15" x14ac:dyDescent="0.25">
      <c r="B4" s="90"/>
      <c r="C4" s="91"/>
      <c r="D4" s="58"/>
      <c r="E4" s="58"/>
      <c r="F4" s="58"/>
      <c r="G4" s="58"/>
      <c r="H4" s="58"/>
      <c r="I4" s="58"/>
      <c r="J4" s="92"/>
      <c r="K4" s="93"/>
      <c r="L4" s="94"/>
      <c r="M4" s="64"/>
      <c r="N4" s="64"/>
      <c r="O4" s="64"/>
    </row>
    <row r="5" spans="2:15" x14ac:dyDescent="0.25">
      <c r="B5" s="90"/>
      <c r="C5" s="91"/>
      <c r="D5" s="58"/>
      <c r="E5" s="58"/>
      <c r="F5" s="58"/>
      <c r="G5" s="58"/>
      <c r="H5" s="58"/>
      <c r="I5" s="58"/>
      <c r="J5" s="92"/>
      <c r="K5" s="93"/>
      <c r="L5" s="94"/>
      <c r="M5" s="64"/>
      <c r="N5" s="64"/>
      <c r="O5" s="64"/>
    </row>
    <row r="6" spans="2:15" x14ac:dyDescent="0.25">
      <c r="B6" s="64"/>
      <c r="C6" s="64"/>
      <c r="D6" s="64"/>
      <c r="E6" s="64"/>
      <c r="F6" s="64"/>
      <c r="G6" s="64"/>
      <c r="H6" s="64"/>
      <c r="I6" s="64"/>
      <c r="J6" s="64"/>
      <c r="K6" s="95"/>
      <c r="L6" s="64"/>
      <c r="M6" s="64"/>
      <c r="N6" s="95"/>
      <c r="O6" s="64"/>
    </row>
    <row r="7" spans="2:15" x14ac:dyDescent="0.25">
      <c r="B7" s="64"/>
      <c r="C7" s="64"/>
      <c r="D7" s="64"/>
      <c r="E7" s="64"/>
      <c r="F7" s="64"/>
      <c r="G7" s="64"/>
      <c r="H7" s="64"/>
      <c r="I7" s="64"/>
      <c r="J7" s="64"/>
      <c r="K7" s="95"/>
      <c r="L7" s="64"/>
      <c r="M7" s="64"/>
      <c r="N7" s="64"/>
      <c r="O7" s="64"/>
    </row>
    <row r="8" spans="2:15" x14ac:dyDescent="0.25">
      <c r="B8" s="64"/>
      <c r="C8" s="64"/>
      <c r="D8" s="64"/>
      <c r="E8" s="64"/>
      <c r="F8" s="64"/>
      <c r="G8" s="64"/>
      <c r="H8" s="64"/>
      <c r="I8" s="64"/>
      <c r="J8" s="64"/>
      <c r="K8" s="95"/>
      <c r="L8" s="64"/>
      <c r="M8" s="64"/>
      <c r="N8" s="64"/>
      <c r="O8" s="64"/>
    </row>
    <row r="9" spans="2:15" x14ac:dyDescent="0.25">
      <c r="B9" s="64"/>
      <c r="C9" s="64"/>
      <c r="D9" s="64"/>
      <c r="E9" s="64"/>
      <c r="F9" s="64"/>
      <c r="G9" s="64"/>
      <c r="H9" s="64"/>
      <c r="I9" s="64"/>
      <c r="J9" s="64"/>
      <c r="K9" s="95"/>
      <c r="L9" s="64"/>
      <c r="M9" s="64"/>
      <c r="N9" s="64"/>
      <c r="O9" s="64"/>
    </row>
    <row r="10" spans="2:15" x14ac:dyDescent="0.25">
      <c r="B10" s="64"/>
      <c r="C10" s="64"/>
      <c r="D10" s="64"/>
      <c r="E10" s="64"/>
      <c r="F10" s="64"/>
      <c r="G10" s="64"/>
      <c r="H10" s="64"/>
      <c r="I10" s="64"/>
      <c r="J10" s="64"/>
      <c r="K10" s="95"/>
      <c r="L10" s="64"/>
      <c r="M10" s="64"/>
      <c r="N10" s="64"/>
      <c r="O10" s="64"/>
    </row>
    <row r="11" spans="2:15" x14ac:dyDescent="0.25">
      <c r="B11" s="64"/>
      <c r="C11" s="64"/>
      <c r="D11" s="64"/>
      <c r="E11" s="64"/>
      <c r="F11" s="64"/>
      <c r="G11" s="64"/>
      <c r="H11" s="64"/>
      <c r="I11" s="64"/>
      <c r="J11" s="64"/>
      <c r="K11" s="97"/>
      <c r="L11" s="64"/>
      <c r="M11" s="64"/>
      <c r="N11" s="64"/>
      <c r="O11" s="64"/>
    </row>
  </sheetData>
  <conditionalFormatting sqref="L3">
    <cfRule type="expression" dxfId="18" priority="1">
      <formula>L3="Reprovado"</formula>
    </cfRule>
    <cfRule type="expression" dxfId="17" priority="2">
      <formula>L3="Aprovado"</formula>
    </cfRule>
    <cfRule type="expression" dxfId="16" priority="3">
      <formula>L3="Cursando"</formula>
    </cfRule>
  </conditionalFormatting>
  <dataValidations count="2">
    <dataValidation type="textLength" operator="equal" allowBlank="1" showInputMessage="1" showErrorMessage="1" errorTitle="Matrícula" error="O código de matrícula contém 13 números!" sqref="B3" xr:uid="{9C5F730E-AD70-4EAB-BCF9-C3D9D138A9CE}">
      <formula1>13</formula1>
    </dataValidation>
    <dataValidation type="whole" operator="lessThan" showInputMessage="1" showErrorMessage="1" errorTitle="Quantidade de aulas" error="Quantidade de aulas inválida!" sqref="D1" xr:uid="{20A1B7F9-667F-404F-9667-4A58093B5D74}">
      <formula1>20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2798A-9E93-46DB-B29F-76F2808920E8}">
  <dimension ref="A1:Q7"/>
  <sheetViews>
    <sheetView workbookViewId="0"/>
  </sheetViews>
  <sheetFormatPr defaultRowHeight="15" x14ac:dyDescent="0.25"/>
  <cols>
    <col min="1" max="1" width="16.28515625" customWidth="1"/>
    <col min="2" max="2" width="5" customWidth="1"/>
  </cols>
  <sheetData>
    <row r="1" spans="1:17" x14ac:dyDescent="0.25">
      <c r="A1" s="32" t="s">
        <v>87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25">
      <c r="A2" s="45">
        <v>412615770</v>
      </c>
      <c r="B2" s="33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x14ac:dyDescent="0.25">
      <c r="B3" s="16"/>
      <c r="C3" s="16"/>
      <c r="D3" s="16"/>
      <c r="E3" s="16"/>
      <c r="F3" s="16"/>
      <c r="G3" s="16"/>
      <c r="H3" s="16"/>
      <c r="I3" s="16"/>
      <c r="J3" s="16"/>
      <c r="K3" s="30" t="s">
        <v>86</v>
      </c>
      <c r="M3" s="38"/>
    </row>
    <row r="4" spans="1:17" x14ac:dyDescent="0.25">
      <c r="A4" s="31" t="s">
        <v>83</v>
      </c>
      <c r="B4" s="16"/>
      <c r="C4" s="20">
        <f t="array" ref="C4:J4">VALUE(MID(A2,COLUMN(A:J),1))</f>
        <v>4</v>
      </c>
      <c r="D4" s="20">
        <v>1</v>
      </c>
      <c r="E4" s="20">
        <v>2</v>
      </c>
      <c r="F4" s="20">
        <v>6</v>
      </c>
      <c r="G4" s="20">
        <v>1</v>
      </c>
      <c r="H4" s="20">
        <v>5</v>
      </c>
      <c r="I4" s="20">
        <v>7</v>
      </c>
      <c r="J4" s="20">
        <v>7</v>
      </c>
      <c r="K4" s="44">
        <f>IF(OR(M6&lt;2,M6&gt;9),0,(11-M6))</f>
        <v>0</v>
      </c>
      <c r="L4" s="43"/>
      <c r="M4" s="38"/>
      <c r="N4" s="16"/>
      <c r="O4" s="16"/>
      <c r="P4" s="16"/>
      <c r="Q4" s="16"/>
    </row>
    <row r="5" spans="1:17" x14ac:dyDescent="0.25">
      <c r="A5" s="31" t="str">
        <f>IF(((VALUE(MID(A2,9,1)))=K4),"VALIDO","INVALIDO")</f>
        <v>VALIDO</v>
      </c>
      <c r="B5" s="16"/>
      <c r="C5" s="30">
        <v>1</v>
      </c>
      <c r="D5" s="30">
        <v>2</v>
      </c>
      <c r="E5" s="30">
        <v>3</v>
      </c>
      <c r="F5" s="30">
        <v>4</v>
      </c>
      <c r="G5" s="30">
        <v>5</v>
      </c>
      <c r="H5" s="30">
        <v>6</v>
      </c>
      <c r="I5" s="30">
        <v>7</v>
      </c>
      <c r="J5" s="30">
        <v>8</v>
      </c>
      <c r="K5" s="30">
        <v>9</v>
      </c>
      <c r="L5" s="20" t="s">
        <v>82</v>
      </c>
      <c r="M5" s="20" t="s">
        <v>81</v>
      </c>
      <c r="P5" s="16"/>
      <c r="Q5" s="16"/>
    </row>
    <row r="6" spans="1:17" x14ac:dyDescent="0.25">
      <c r="B6" s="16" t="s">
        <v>78</v>
      </c>
      <c r="C6" s="41">
        <f>C4*(10-C5)</f>
        <v>36</v>
      </c>
      <c r="D6" s="41">
        <f>D4*(10-D5)</f>
        <v>8</v>
      </c>
      <c r="E6" s="41">
        <f>E4*(10-E5)</f>
        <v>14</v>
      </c>
      <c r="F6" s="41">
        <f>F4*(10-F5)</f>
        <v>36</v>
      </c>
      <c r="G6" s="41">
        <f>G4*(10-G5)</f>
        <v>5</v>
      </c>
      <c r="H6" s="41">
        <f>H4*(10-H5)</f>
        <v>20</v>
      </c>
      <c r="I6" s="41">
        <f>I4*(10-I5)</f>
        <v>21</v>
      </c>
      <c r="J6" s="41">
        <f>J4*(10-J5)</f>
        <v>14</v>
      </c>
      <c r="K6" s="42"/>
      <c r="L6" s="41">
        <f>SUM(C6:J6)</f>
        <v>154</v>
      </c>
      <c r="M6" s="20">
        <f>MOD(L6,12)</f>
        <v>10</v>
      </c>
      <c r="P6" s="16"/>
      <c r="Q6" s="16"/>
    </row>
    <row r="7" spans="1:17" x14ac:dyDescent="0.25">
      <c r="B7" s="16"/>
      <c r="C7" s="40"/>
      <c r="D7" s="40"/>
      <c r="E7" s="40"/>
      <c r="F7" s="40"/>
      <c r="G7" s="40"/>
      <c r="H7" s="40"/>
      <c r="I7" s="40"/>
      <c r="J7" s="40"/>
      <c r="K7" s="40"/>
      <c r="L7" s="40"/>
      <c r="M7" s="38"/>
      <c r="N7" s="16"/>
      <c r="O7" s="16"/>
      <c r="P7" s="16"/>
      <c r="Q7" s="16"/>
    </row>
  </sheetData>
  <conditionalFormatting sqref="A5">
    <cfRule type="expression" dxfId="15" priority="3">
      <formula>A5="INVALIDO"</formula>
    </cfRule>
    <cfRule type="expression" dxfId="14" priority="4">
      <formula>A5="VALIDO"</formula>
    </cfRule>
  </conditionalFormatting>
  <conditionalFormatting sqref="Q6:Q7">
    <cfRule type="expression" dxfId="13" priority="1">
      <formula>Q6="VALIDO"</formula>
    </cfRule>
    <cfRule type="expression" dxfId="12" priority="2">
      <formula>Q6="INVALIDO"</formula>
    </cfRule>
  </conditionalFormatting>
  <dataValidations count="1">
    <dataValidation type="textLength" allowBlank="1" showInputMessage="1" showErrorMessage="1" errorTitle="RG" error="RG é composto por 9 dígitos!" sqref="A2" xr:uid="{6EB8C3AE-E8FD-4A3D-A910-2824659015D0}">
      <formula1>9</formula1>
      <formula2>9</formula2>
    </dataValidation>
  </dataValidation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60D7D-06F7-449E-B86C-7C64C1F6885E}">
  <dimension ref="A1:R38"/>
  <sheetViews>
    <sheetView zoomScaleNormal="100" workbookViewId="0">
      <selection activeCell="H18" sqref="H18"/>
    </sheetView>
  </sheetViews>
  <sheetFormatPr defaultRowHeight="15" x14ac:dyDescent="0.25"/>
  <cols>
    <col min="1" max="1" width="19.5703125" customWidth="1"/>
    <col min="2" max="2" width="4.140625" customWidth="1"/>
    <col min="3" max="3" width="9.28515625" customWidth="1"/>
  </cols>
  <sheetData>
    <row r="1" spans="1:18" x14ac:dyDescent="0.25">
      <c r="A1" s="32" t="s">
        <v>88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8" x14ac:dyDescent="0.25">
      <c r="A2" s="47">
        <v>417278040175</v>
      </c>
      <c r="B2" s="33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46"/>
      <c r="P2" s="46"/>
      <c r="Q2" s="16"/>
    </row>
    <row r="3" spans="1:18" x14ac:dyDescent="0.25">
      <c r="B3" s="16"/>
      <c r="C3" s="16"/>
      <c r="D3" s="16"/>
      <c r="E3" s="16"/>
      <c r="F3" s="16"/>
      <c r="G3" s="16"/>
      <c r="H3" s="16"/>
      <c r="I3" s="16"/>
      <c r="J3" s="16"/>
      <c r="K3" s="16"/>
      <c r="O3" s="46"/>
      <c r="P3" s="46"/>
    </row>
    <row r="4" spans="1:18" x14ac:dyDescent="0.25">
      <c r="A4" s="31" t="s">
        <v>83</v>
      </c>
      <c r="B4" s="16"/>
      <c r="C4" s="20">
        <f t="array" ref="C4:N4">VALUE(MID(A2,COLUMN(A:N),1))</f>
        <v>4</v>
      </c>
      <c r="D4" s="20">
        <v>1</v>
      </c>
      <c r="E4" s="20">
        <v>7</v>
      </c>
      <c r="F4" s="20">
        <v>2</v>
      </c>
      <c r="G4" s="20">
        <v>7</v>
      </c>
      <c r="H4" s="20">
        <v>8</v>
      </c>
      <c r="I4" s="20">
        <v>0</v>
      </c>
      <c r="J4" s="20">
        <v>4</v>
      </c>
      <c r="K4" s="20">
        <v>0</v>
      </c>
      <c r="L4" s="37">
        <v>1</v>
      </c>
      <c r="M4" s="37">
        <v>7</v>
      </c>
      <c r="N4" s="20">
        <v>5</v>
      </c>
      <c r="O4" s="46"/>
      <c r="P4" s="46"/>
      <c r="Q4" s="16"/>
    </row>
    <row r="5" spans="1:18" x14ac:dyDescent="0.25">
      <c r="A5" s="31" t="str">
        <f>IF(AND(R6="VALIDO",R7="VALIDO"),"VALIDO","INVALIDO")</f>
        <v>VALIDO</v>
      </c>
      <c r="B5" s="16"/>
      <c r="C5" s="30">
        <v>1</v>
      </c>
      <c r="D5" s="30">
        <v>2</v>
      </c>
      <c r="E5" s="30">
        <v>3</v>
      </c>
      <c r="F5" s="30">
        <v>4</v>
      </c>
      <c r="G5" s="30">
        <v>5</v>
      </c>
      <c r="H5" s="30">
        <v>6</v>
      </c>
      <c r="I5" s="30">
        <v>7</v>
      </c>
      <c r="J5" s="30">
        <v>8</v>
      </c>
      <c r="K5" s="30">
        <v>9</v>
      </c>
      <c r="L5" s="30">
        <v>10</v>
      </c>
      <c r="M5" s="30">
        <v>11</v>
      </c>
      <c r="N5" s="30">
        <v>12</v>
      </c>
      <c r="Q5" s="16" t="s">
        <v>81</v>
      </c>
      <c r="R5" s="16" t="s">
        <v>79</v>
      </c>
    </row>
    <row r="6" spans="1:18" x14ac:dyDescent="0.25">
      <c r="B6" s="35" t="s">
        <v>78</v>
      </c>
      <c r="C6" s="20">
        <f>C4*D5</f>
        <v>8</v>
      </c>
      <c r="D6" s="20">
        <f t="shared" ref="D6:J6" si="0">D4*E5</f>
        <v>3</v>
      </c>
      <c r="E6" s="20">
        <f t="shared" si="0"/>
        <v>28</v>
      </c>
      <c r="F6" s="20">
        <f t="shared" si="0"/>
        <v>10</v>
      </c>
      <c r="G6" s="20">
        <f t="shared" si="0"/>
        <v>42</v>
      </c>
      <c r="H6" s="20">
        <f t="shared" si="0"/>
        <v>56</v>
      </c>
      <c r="I6" s="20">
        <f t="shared" si="0"/>
        <v>0</v>
      </c>
      <c r="J6" s="20">
        <f t="shared" si="0"/>
        <v>36</v>
      </c>
      <c r="K6" s="29"/>
      <c r="L6" s="29"/>
      <c r="M6" s="29"/>
      <c r="N6" s="29"/>
      <c r="O6" s="36"/>
      <c r="P6" s="20">
        <f>SUM(C6:J6)</f>
        <v>183</v>
      </c>
      <c r="Q6" s="20">
        <f>MOD(P6,11)</f>
        <v>7</v>
      </c>
      <c r="R6" s="20" t="str">
        <f>IF(Q6=M4,"VALIDO","INVALIDO")</f>
        <v>VALIDO</v>
      </c>
    </row>
    <row r="7" spans="1:18" x14ac:dyDescent="0.25">
      <c r="A7" s="31" t="s">
        <v>117</v>
      </c>
      <c r="B7" s="35" t="s">
        <v>77</v>
      </c>
      <c r="C7" s="29"/>
      <c r="D7" s="29"/>
      <c r="E7" s="29"/>
      <c r="F7" s="29"/>
      <c r="G7" s="29"/>
      <c r="H7" s="29"/>
      <c r="I7" s="29"/>
      <c r="J7" s="29"/>
      <c r="K7" s="37">
        <f>K4*I5</f>
        <v>0</v>
      </c>
      <c r="L7" s="37">
        <f t="shared" ref="L7:M7" si="1">L4*J5</f>
        <v>8</v>
      </c>
      <c r="M7" s="37">
        <f t="shared" si="1"/>
        <v>63</v>
      </c>
      <c r="N7" s="29"/>
      <c r="O7" s="29"/>
      <c r="P7" s="20">
        <f>SUM(K7:M7)</f>
        <v>71</v>
      </c>
      <c r="Q7" s="20">
        <f>MOD(P7,11)</f>
        <v>5</v>
      </c>
      <c r="R7" s="20" t="str">
        <f>IF(Q7=N4,"VALIDO","INVALIDO")</f>
        <v>VALIDO</v>
      </c>
    </row>
    <row r="8" spans="1:18" x14ac:dyDescent="0.25">
      <c r="A8" s="48" t="str">
        <f>VLOOKUP((VALUE(MID(A2,9,2))),TabEstado[],2)</f>
        <v>SP</v>
      </c>
    </row>
    <row r="10" spans="1:18" x14ac:dyDescent="0.25">
      <c r="C10" s="8" t="s">
        <v>33</v>
      </c>
      <c r="D10" s="8" t="s">
        <v>89</v>
      </c>
    </row>
    <row r="11" spans="1:18" x14ac:dyDescent="0.25">
      <c r="C11">
        <v>1</v>
      </c>
      <c r="D11" t="s">
        <v>90</v>
      </c>
    </row>
    <row r="12" spans="1:18" x14ac:dyDescent="0.25">
      <c r="C12">
        <v>2</v>
      </c>
      <c r="D12" t="s">
        <v>91</v>
      </c>
    </row>
    <row r="13" spans="1:18" x14ac:dyDescent="0.25">
      <c r="C13">
        <v>3</v>
      </c>
      <c r="D13" t="s">
        <v>92</v>
      </c>
    </row>
    <row r="14" spans="1:18" x14ac:dyDescent="0.25">
      <c r="C14">
        <v>4</v>
      </c>
      <c r="D14" t="s">
        <v>93</v>
      </c>
    </row>
    <row r="15" spans="1:18" x14ac:dyDescent="0.25">
      <c r="C15">
        <v>5</v>
      </c>
      <c r="D15" t="s">
        <v>94</v>
      </c>
    </row>
    <row r="16" spans="1:18" x14ac:dyDescent="0.25">
      <c r="C16">
        <v>6</v>
      </c>
      <c r="D16" t="s">
        <v>95</v>
      </c>
    </row>
    <row r="17" spans="3:4" x14ac:dyDescent="0.25">
      <c r="C17">
        <v>7</v>
      </c>
      <c r="D17" t="s">
        <v>96</v>
      </c>
    </row>
    <row r="18" spans="3:4" x14ac:dyDescent="0.25">
      <c r="C18">
        <v>8</v>
      </c>
      <c r="D18" t="s">
        <v>97</v>
      </c>
    </row>
    <row r="19" spans="3:4" x14ac:dyDescent="0.25">
      <c r="C19">
        <v>9</v>
      </c>
      <c r="D19" t="s">
        <v>98</v>
      </c>
    </row>
    <row r="20" spans="3:4" x14ac:dyDescent="0.25">
      <c r="C20">
        <v>10</v>
      </c>
      <c r="D20" t="s">
        <v>99</v>
      </c>
    </row>
    <row r="21" spans="3:4" x14ac:dyDescent="0.25">
      <c r="C21">
        <v>11</v>
      </c>
      <c r="D21" t="s">
        <v>100</v>
      </c>
    </row>
    <row r="22" spans="3:4" x14ac:dyDescent="0.25">
      <c r="C22">
        <v>12</v>
      </c>
      <c r="D22" t="s">
        <v>101</v>
      </c>
    </row>
    <row r="23" spans="3:4" x14ac:dyDescent="0.25">
      <c r="C23">
        <v>13</v>
      </c>
      <c r="D23" t="s">
        <v>102</v>
      </c>
    </row>
    <row r="24" spans="3:4" x14ac:dyDescent="0.25">
      <c r="C24">
        <v>14</v>
      </c>
      <c r="D24" t="s">
        <v>103</v>
      </c>
    </row>
    <row r="25" spans="3:4" x14ac:dyDescent="0.25">
      <c r="C25">
        <v>15</v>
      </c>
      <c r="D25" t="s">
        <v>104</v>
      </c>
    </row>
    <row r="26" spans="3:4" x14ac:dyDescent="0.25">
      <c r="C26">
        <v>16</v>
      </c>
      <c r="D26" t="s">
        <v>105</v>
      </c>
    </row>
    <row r="27" spans="3:4" x14ac:dyDescent="0.25">
      <c r="C27">
        <v>17</v>
      </c>
      <c r="D27" t="s">
        <v>106</v>
      </c>
    </row>
    <row r="28" spans="3:4" x14ac:dyDescent="0.25">
      <c r="C28">
        <v>18</v>
      </c>
      <c r="D28" t="s">
        <v>107</v>
      </c>
    </row>
    <row r="29" spans="3:4" x14ac:dyDescent="0.25">
      <c r="C29">
        <v>19</v>
      </c>
      <c r="D29" t="s">
        <v>108</v>
      </c>
    </row>
    <row r="30" spans="3:4" x14ac:dyDescent="0.25">
      <c r="C30">
        <v>20</v>
      </c>
      <c r="D30" t="s">
        <v>109</v>
      </c>
    </row>
    <row r="31" spans="3:4" x14ac:dyDescent="0.25">
      <c r="C31">
        <v>21</v>
      </c>
      <c r="D31" t="s">
        <v>110</v>
      </c>
    </row>
    <row r="32" spans="3:4" x14ac:dyDescent="0.25">
      <c r="C32">
        <v>22</v>
      </c>
      <c r="D32" t="s">
        <v>111</v>
      </c>
    </row>
    <row r="33" spans="3:4" x14ac:dyDescent="0.25">
      <c r="C33">
        <v>23</v>
      </c>
      <c r="D33" t="s">
        <v>93</v>
      </c>
    </row>
    <row r="34" spans="3:4" x14ac:dyDescent="0.25">
      <c r="C34">
        <v>24</v>
      </c>
      <c r="D34" t="s">
        <v>112</v>
      </c>
    </row>
    <row r="35" spans="3:4" x14ac:dyDescent="0.25">
      <c r="C35">
        <v>25</v>
      </c>
      <c r="D35" t="s">
        <v>113</v>
      </c>
    </row>
    <row r="36" spans="3:4" x14ac:dyDescent="0.25">
      <c r="C36">
        <v>26</v>
      </c>
      <c r="D36" t="s">
        <v>114</v>
      </c>
    </row>
    <row r="37" spans="3:4" x14ac:dyDescent="0.25">
      <c r="C37">
        <v>27</v>
      </c>
      <c r="D37" t="s">
        <v>115</v>
      </c>
    </row>
    <row r="38" spans="3:4" x14ac:dyDescent="0.25">
      <c r="C38">
        <v>28</v>
      </c>
      <c r="D38" t="s">
        <v>116</v>
      </c>
    </row>
  </sheetData>
  <conditionalFormatting sqref="A5">
    <cfRule type="expression" dxfId="11" priority="3">
      <formula>A5="INVALIDO"</formula>
    </cfRule>
    <cfRule type="expression" dxfId="10" priority="4">
      <formula>A5="VALIDO"</formula>
    </cfRule>
  </conditionalFormatting>
  <conditionalFormatting sqref="R6:R7">
    <cfRule type="expression" dxfId="9" priority="1">
      <formula>R6="VALIDO"</formula>
    </cfRule>
    <cfRule type="expression" dxfId="8" priority="2">
      <formula>R6="INVALIDO"</formula>
    </cfRule>
  </conditionalFormatting>
  <dataValidations count="2">
    <dataValidation type="textLength" allowBlank="1" showInputMessage="1" showErrorMessage="1" sqref="A4" xr:uid="{3039574B-EB16-4B43-87BC-8D987C76DE14}">
      <formula1>14</formula1>
      <formula2>14</formula2>
    </dataValidation>
    <dataValidation type="textLength" allowBlank="1" showInputMessage="1" showErrorMessage="1" errorTitle="TITULO" error="TITULO é composto por 12 dígitos!" sqref="A2" xr:uid="{2FEE7383-302E-412C-A648-B0CB7277E3ED}">
      <formula1>12</formula1>
      <formula2>12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97B45-0E0D-4534-9D6B-9011F8E16613}">
  <dimension ref="A1:R17"/>
  <sheetViews>
    <sheetView workbookViewId="0">
      <selection activeCell="G4" sqref="G4"/>
    </sheetView>
  </sheetViews>
  <sheetFormatPr defaultRowHeight="15" x14ac:dyDescent="0.25"/>
  <cols>
    <col min="1" max="1" width="20.85546875" customWidth="1"/>
    <col min="2" max="2" width="9.28515625" customWidth="1"/>
    <col min="3" max="3" width="11" customWidth="1"/>
    <col min="4" max="4" width="10.28515625" customWidth="1"/>
    <col min="7" max="7" width="12" bestFit="1" customWidth="1"/>
    <col min="11" max="11" width="9.28515625" customWidth="1"/>
  </cols>
  <sheetData>
    <row r="1" spans="1:18" x14ac:dyDescent="0.25">
      <c r="A1" s="32" t="s">
        <v>118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8" x14ac:dyDescent="0.25">
      <c r="A2" s="50" t="s">
        <v>119</v>
      </c>
      <c r="B2" s="33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46"/>
      <c r="P2" s="46"/>
      <c r="Q2" s="16"/>
    </row>
    <row r="3" spans="1:18" x14ac:dyDescent="0.25">
      <c r="B3" s="16"/>
      <c r="C3" s="16"/>
      <c r="D3" s="16"/>
      <c r="E3" s="16"/>
      <c r="F3" s="16"/>
      <c r="G3" s="16"/>
      <c r="H3" s="16"/>
      <c r="I3" s="16"/>
      <c r="J3" s="16"/>
      <c r="K3" s="16"/>
      <c r="O3" s="46"/>
      <c r="P3" s="46"/>
    </row>
    <row r="4" spans="1:18" x14ac:dyDescent="0.25">
      <c r="A4" s="31" t="s">
        <v>83</v>
      </c>
      <c r="B4" s="16"/>
      <c r="C4" s="51">
        <f t="array" ref="C4:Q4">VALUE(MID(A2,COLUMN(A:Q),1))</f>
        <v>5</v>
      </c>
      <c r="D4" s="51">
        <v>2</v>
      </c>
      <c r="E4" s="51">
        <v>0</v>
      </c>
      <c r="F4" s="51">
        <v>1</v>
      </c>
      <c r="G4" s="51">
        <v>3</v>
      </c>
      <c r="H4" s="51">
        <v>2</v>
      </c>
      <c r="I4" s="51">
        <v>8</v>
      </c>
      <c r="J4" s="51">
        <v>5</v>
      </c>
      <c r="K4" s="51">
        <v>0</v>
      </c>
      <c r="L4" s="52">
        <v>7</v>
      </c>
      <c r="M4" s="52">
        <v>4</v>
      </c>
      <c r="N4" s="51">
        <v>9</v>
      </c>
      <c r="O4" s="52">
        <v>3</v>
      </c>
      <c r="P4" s="52">
        <v>8</v>
      </c>
      <c r="Q4" s="51">
        <v>3</v>
      </c>
      <c r="R4" s="54">
        <f>10-O10</f>
        <v>2</v>
      </c>
    </row>
    <row r="5" spans="1:18" x14ac:dyDescent="0.25">
      <c r="A5" s="31" t="str">
        <f>IF(P10="VALIDO","VALIDO","INVALIDO")</f>
        <v>VALIDO</v>
      </c>
      <c r="B5" s="16"/>
      <c r="C5" s="53">
        <v>2</v>
      </c>
      <c r="D5" s="53">
        <v>1</v>
      </c>
      <c r="E5" s="53">
        <v>2</v>
      </c>
      <c r="F5" s="53">
        <v>1</v>
      </c>
      <c r="G5" s="53">
        <v>2</v>
      </c>
      <c r="H5" s="53">
        <v>1</v>
      </c>
      <c r="I5" s="53">
        <v>2</v>
      </c>
      <c r="J5" s="53">
        <v>1</v>
      </c>
      <c r="K5" s="53">
        <v>2</v>
      </c>
      <c r="L5" s="53">
        <v>1</v>
      </c>
      <c r="M5" s="53">
        <v>2</v>
      </c>
      <c r="N5" s="53">
        <v>1</v>
      </c>
      <c r="O5" s="53">
        <v>2</v>
      </c>
      <c r="P5" s="53">
        <v>1</v>
      </c>
      <c r="Q5" s="53">
        <v>2</v>
      </c>
      <c r="R5" s="53">
        <v>1</v>
      </c>
    </row>
    <row r="6" spans="1:18" x14ac:dyDescent="0.25">
      <c r="B6" s="35" t="s">
        <v>121</v>
      </c>
      <c r="C6" s="56">
        <f>IF((C4*C5)&gt;9,(C4*C5)-9,C4*C5)</f>
        <v>1</v>
      </c>
      <c r="D6" s="56">
        <f t="shared" ref="D6:R6" si="0">IF((D4*D5)&gt;9,(D4*D5)-9,D4*D5)</f>
        <v>2</v>
      </c>
      <c r="E6" s="56">
        <f t="shared" si="0"/>
        <v>0</v>
      </c>
      <c r="F6" s="56">
        <f t="shared" si="0"/>
        <v>1</v>
      </c>
      <c r="G6" s="56">
        <f t="shared" si="0"/>
        <v>6</v>
      </c>
      <c r="H6" s="56">
        <f t="shared" si="0"/>
        <v>2</v>
      </c>
      <c r="I6" s="56">
        <f t="shared" si="0"/>
        <v>7</v>
      </c>
      <c r="J6" s="56">
        <f t="shared" si="0"/>
        <v>5</v>
      </c>
      <c r="K6" s="56">
        <f t="shared" si="0"/>
        <v>0</v>
      </c>
      <c r="L6" s="56">
        <f t="shared" si="0"/>
        <v>7</v>
      </c>
      <c r="M6" s="56">
        <f t="shared" si="0"/>
        <v>8</v>
      </c>
      <c r="N6" s="56">
        <f t="shared" si="0"/>
        <v>9</v>
      </c>
      <c r="O6" s="56">
        <f t="shared" si="0"/>
        <v>6</v>
      </c>
      <c r="P6" s="56">
        <f t="shared" si="0"/>
        <v>8</v>
      </c>
      <c r="Q6" s="56">
        <f t="shared" si="0"/>
        <v>6</v>
      </c>
      <c r="R6" s="56">
        <f>IF(((VALUE(MID(A2,16,1)))*R5)&gt;9,((VALUE(MID(A2,16,1)))*R5)-9,(VALUE(MID(A2,16,1)))*R5)</f>
        <v>2</v>
      </c>
    </row>
    <row r="7" spans="1:18" x14ac:dyDescent="0.25">
      <c r="A7" s="31" t="s">
        <v>122</v>
      </c>
      <c r="B7" s="35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60"/>
      <c r="Q7" s="60"/>
      <c r="R7" s="60"/>
    </row>
    <row r="8" spans="1:18" x14ac:dyDescent="0.25">
      <c r="A8" s="48" t="str">
        <f>VLOOKUP((VALUE(MID(A2,1,1))),TabEmissora[],2)</f>
        <v>Mastercard</v>
      </c>
    </row>
    <row r="9" spans="1:18" x14ac:dyDescent="0.25">
      <c r="C9" t="s">
        <v>33</v>
      </c>
      <c r="D9" s="62" t="s">
        <v>122</v>
      </c>
      <c r="N9" s="38"/>
      <c r="O9" s="20" t="s">
        <v>120</v>
      </c>
      <c r="P9" s="20" t="s">
        <v>79</v>
      </c>
    </row>
    <row r="10" spans="1:18" x14ac:dyDescent="0.25">
      <c r="C10">
        <v>3</v>
      </c>
      <c r="D10" s="62" t="s">
        <v>123</v>
      </c>
      <c r="N10" s="55">
        <f>SUM(C6:Q6)</f>
        <v>68</v>
      </c>
      <c r="O10" s="41">
        <f>MOD(N10,10)</f>
        <v>8</v>
      </c>
      <c r="P10" s="41" t="str">
        <f>IF(R4=(VALUE(MID(A2,16,1))),"VALIDO","INVALIDO")</f>
        <v>VALIDO</v>
      </c>
    </row>
    <row r="11" spans="1:18" x14ac:dyDescent="0.25">
      <c r="C11">
        <v>4</v>
      </c>
      <c r="D11" s="62" t="s">
        <v>124</v>
      </c>
      <c r="N11" s="40"/>
      <c r="O11" s="40"/>
      <c r="P11" s="40"/>
    </row>
    <row r="12" spans="1:18" x14ac:dyDescent="0.25">
      <c r="C12">
        <v>5</v>
      </c>
      <c r="D12" s="63" t="s">
        <v>125</v>
      </c>
    </row>
    <row r="13" spans="1:18" x14ac:dyDescent="0.25">
      <c r="C13">
        <v>6</v>
      </c>
      <c r="D13" s="63" t="s">
        <v>126</v>
      </c>
    </row>
    <row r="14" spans="1:18" x14ac:dyDescent="0.25">
      <c r="D14" s="63"/>
    </row>
    <row r="15" spans="1:18" x14ac:dyDescent="0.25">
      <c r="D15" s="63"/>
    </row>
    <row r="16" spans="1:18" x14ac:dyDescent="0.25">
      <c r="C16" s="63"/>
      <c r="D16" s="63"/>
    </row>
    <row r="17" spans="11:11" x14ac:dyDescent="0.25">
      <c r="K17" s="49"/>
    </row>
  </sheetData>
  <conditionalFormatting sqref="A5">
    <cfRule type="expression" dxfId="7" priority="3">
      <formula>A5="INVALIDO"</formula>
    </cfRule>
    <cfRule type="expression" dxfId="6" priority="4">
      <formula>A5="VALIDO"</formula>
    </cfRule>
  </conditionalFormatting>
  <conditionalFormatting sqref="P10:P11">
    <cfRule type="expression" dxfId="5" priority="1">
      <formula>P10="VALIDO"</formula>
    </cfRule>
    <cfRule type="expression" dxfId="4" priority="2">
      <formula>P10="INVALIDO"</formula>
    </cfRule>
  </conditionalFormatting>
  <dataValidations count="2">
    <dataValidation type="textLength" showInputMessage="1" errorTitle="Cartão de crédito" error="O número de cartão de crédito é composto por 16 dígitos!" sqref="A2" xr:uid="{DA1C8167-64AA-473F-BFFB-A059DBD3ECD7}">
      <formula1>16</formula1>
      <formula2>16</formula2>
    </dataValidation>
    <dataValidation type="textLength" allowBlank="1" showInputMessage="1" showErrorMessage="1" sqref="A4" xr:uid="{1BEA4F94-C85C-4F1C-BCED-292DFC16D783}">
      <formula1>14</formula1>
      <formula2>14</formula2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6978F-367D-46FD-B742-082793663E27}">
  <dimension ref="A1:AB19"/>
  <sheetViews>
    <sheetView workbookViewId="0">
      <selection activeCell="N12" sqref="N12"/>
    </sheetView>
  </sheetViews>
  <sheetFormatPr defaultRowHeight="15" x14ac:dyDescent="0.25"/>
  <cols>
    <col min="1" max="1" width="31.28515625" customWidth="1"/>
    <col min="2" max="2" width="3.28515625" customWidth="1"/>
    <col min="3" max="22" width="4.28515625" style="15" customWidth="1"/>
    <col min="23" max="23" width="9.42578125" style="69" bestFit="1" customWidth="1"/>
    <col min="24" max="24" width="24" bestFit="1" customWidth="1"/>
    <col min="25" max="25" width="27.140625" customWidth="1"/>
    <col min="26" max="26" width="7.7109375" bestFit="1" customWidth="1"/>
    <col min="27" max="27" width="2.7109375" customWidth="1"/>
    <col min="29" max="29" width="17.85546875" customWidth="1"/>
  </cols>
  <sheetData>
    <row r="1" spans="1:28" x14ac:dyDescent="0.25">
      <c r="A1" s="71" t="s">
        <v>127</v>
      </c>
      <c r="B1" s="16"/>
      <c r="R1" s="15">
        <f>MOD((C4&amp;D4&amp;E4&amp;F4&amp;G4&amp;H4&amp;I4),97)</f>
        <v>24</v>
      </c>
      <c r="X1" s="72" t="s">
        <v>12</v>
      </c>
      <c r="Y1" s="24"/>
      <c r="Z1" s="24" t="s">
        <v>79</v>
      </c>
    </row>
    <row r="2" spans="1:28" x14ac:dyDescent="0.25">
      <c r="A2" s="65" t="s">
        <v>128</v>
      </c>
      <c r="B2" s="33"/>
      <c r="O2" s="57"/>
      <c r="P2" s="57"/>
      <c r="R2" s="15">
        <f>MOD(R1&amp;L4&amp;M4&amp;N4&amp;O4&amp;P4&amp;Q4&amp;R4,97)</f>
        <v>13</v>
      </c>
      <c r="W2" s="69">
        <f>(MOD(R3,97))</f>
        <v>1</v>
      </c>
      <c r="X2" s="73"/>
      <c r="Y2" s="74"/>
      <c r="Z2" s="20" t="str">
        <f>IF(R4=(VALUE(MID(A2,16,1))),"VALIDO","INVALIDO")</f>
        <v>VALIDO</v>
      </c>
    </row>
    <row r="3" spans="1:28" x14ac:dyDescent="0.25">
      <c r="A3" s="15"/>
      <c r="B3" s="16"/>
      <c r="O3" s="57"/>
      <c r="P3" s="57"/>
      <c r="R3" s="15">
        <f>MOD(R2&amp;S4&amp;T4&amp;U4&amp;V4&amp;J4&amp;K4,97)</f>
        <v>1</v>
      </c>
      <c r="X3" s="40"/>
      <c r="Y3" s="40"/>
      <c r="Z3" s="40"/>
    </row>
    <row r="4" spans="1:28" x14ac:dyDescent="0.25">
      <c r="A4" s="71" t="s">
        <v>83</v>
      </c>
      <c r="B4" s="16"/>
      <c r="C4" s="51">
        <f t="array" ref="C4:I4">VALUE(MID(A2,COLUMN(A:I),1))</f>
        <v>1</v>
      </c>
      <c r="D4" s="51">
        <v>5</v>
      </c>
      <c r="E4" s="51">
        <v>0</v>
      </c>
      <c r="F4" s="51">
        <v>0</v>
      </c>
      <c r="G4" s="51">
        <v>1</v>
      </c>
      <c r="H4" s="51">
        <v>2</v>
      </c>
      <c r="I4" s="51">
        <v>9</v>
      </c>
      <c r="J4" s="54">
        <v>7</v>
      </c>
      <c r="K4" s="54">
        <v>9</v>
      </c>
      <c r="L4" s="52">
        <f t="array" ref="L4:V4">VALUE(MID(A2,COLUMN(J:V),1))</f>
        <v>2</v>
      </c>
      <c r="M4" s="52">
        <v>0</v>
      </c>
      <c r="N4" s="51">
        <v>1</v>
      </c>
      <c r="O4" s="52">
        <v>7</v>
      </c>
      <c r="P4" s="52">
        <v>8</v>
      </c>
      <c r="Q4" s="51">
        <v>2</v>
      </c>
      <c r="R4" s="52">
        <v>6</v>
      </c>
      <c r="S4" s="51">
        <v>0</v>
      </c>
      <c r="T4" s="51">
        <v>5</v>
      </c>
      <c r="U4" s="51">
        <v>3</v>
      </c>
      <c r="V4" s="51">
        <v>6</v>
      </c>
      <c r="W4" s="70"/>
    </row>
    <row r="5" spans="1:28" x14ac:dyDescent="0.25">
      <c r="A5" s="54" t="str">
        <f>IF(Z2="VALIDO","VALIDO","INVALIDO")</f>
        <v>VALIDO</v>
      </c>
      <c r="B5" s="16"/>
      <c r="C5" s="67">
        <f>C4*100</f>
        <v>100</v>
      </c>
      <c r="D5" s="67">
        <f t="shared" ref="D5:V5" si="0">D4*100</f>
        <v>500</v>
      </c>
      <c r="E5" s="67">
        <f t="shared" si="0"/>
        <v>0</v>
      </c>
      <c r="F5" s="67">
        <f t="shared" si="0"/>
        <v>0</v>
      </c>
      <c r="G5" s="67">
        <f t="shared" si="0"/>
        <v>100</v>
      </c>
      <c r="H5" s="67">
        <f t="shared" si="0"/>
        <v>200</v>
      </c>
      <c r="I5" s="67">
        <f t="shared" si="0"/>
        <v>900</v>
      </c>
      <c r="J5" s="67">
        <f t="shared" si="0"/>
        <v>700</v>
      </c>
      <c r="K5" s="67">
        <f t="shared" si="0"/>
        <v>900</v>
      </c>
      <c r="L5" s="67">
        <f t="shared" si="0"/>
        <v>200</v>
      </c>
      <c r="M5" s="67">
        <f t="shared" si="0"/>
        <v>0</v>
      </c>
      <c r="N5" s="67">
        <f t="shared" si="0"/>
        <v>100</v>
      </c>
      <c r="O5" s="67">
        <f t="shared" si="0"/>
        <v>700</v>
      </c>
      <c r="P5" s="67">
        <f t="shared" si="0"/>
        <v>800</v>
      </c>
      <c r="Q5" s="67">
        <f t="shared" si="0"/>
        <v>200</v>
      </c>
      <c r="R5" s="67">
        <f t="shared" si="0"/>
        <v>600</v>
      </c>
      <c r="S5" s="67">
        <f t="shared" si="0"/>
        <v>0</v>
      </c>
      <c r="T5" s="67">
        <f t="shared" si="0"/>
        <v>500</v>
      </c>
      <c r="U5" s="67">
        <f t="shared" si="0"/>
        <v>300</v>
      </c>
      <c r="V5" s="67">
        <f t="shared" si="0"/>
        <v>600</v>
      </c>
      <c r="W5" s="76">
        <f>SUM(C5:V5)</f>
        <v>7400</v>
      </c>
      <c r="X5" s="68"/>
      <c r="Y5" s="68"/>
    </row>
    <row r="6" spans="1:28" x14ac:dyDescent="0.25">
      <c r="A6" s="15"/>
      <c r="B6" s="66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W6" s="11" t="s">
        <v>33</v>
      </c>
      <c r="X6" s="62" t="s">
        <v>122</v>
      </c>
    </row>
    <row r="7" spans="1:28" x14ac:dyDescent="0.25">
      <c r="A7" s="71" t="s">
        <v>122</v>
      </c>
      <c r="B7" s="35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8"/>
      <c r="Q7" s="58"/>
      <c r="R7" s="58"/>
      <c r="W7" s="11">
        <v>3</v>
      </c>
      <c r="X7" s="62" t="s">
        <v>123</v>
      </c>
    </row>
    <row r="8" spans="1:28" x14ac:dyDescent="0.25">
      <c r="A8" s="51" t="e">
        <f>VLOOKUP((VALUE(MID(A2,1,1))),TabEmissora7[],2)</f>
        <v>#N/A</v>
      </c>
      <c r="W8" s="11">
        <v>4</v>
      </c>
      <c r="X8" s="62" t="s">
        <v>124</v>
      </c>
    </row>
    <row r="9" spans="1:28" x14ac:dyDescent="0.25">
      <c r="W9" s="11">
        <v>5</v>
      </c>
      <c r="X9" s="63" t="s">
        <v>125</v>
      </c>
      <c r="Y9" s="68"/>
    </row>
    <row r="10" spans="1:28" x14ac:dyDescent="0.25">
      <c r="W10" s="11">
        <v>6</v>
      </c>
      <c r="X10" s="63" t="s">
        <v>126</v>
      </c>
      <c r="Y10" s="68"/>
    </row>
    <row r="11" spans="1:28" x14ac:dyDescent="0.25">
      <c r="Z11" s="3"/>
    </row>
    <row r="13" spans="1:28" x14ac:dyDescent="0.25">
      <c r="X13" s="3"/>
    </row>
    <row r="16" spans="1:28" x14ac:dyDescent="0.25">
      <c r="A16" s="75"/>
      <c r="AB16" s="3"/>
    </row>
    <row r="18" spans="24:24" x14ac:dyDescent="0.25">
      <c r="X18" s="3"/>
    </row>
    <row r="19" spans="24:24" x14ac:dyDescent="0.25">
      <c r="X19" s="3"/>
    </row>
  </sheetData>
  <conditionalFormatting sqref="A5">
    <cfRule type="expression" dxfId="3" priority="3">
      <formula>A5="INVALIDO"</formula>
    </cfRule>
    <cfRule type="expression" dxfId="2" priority="4">
      <formula>A5="VALIDO"</formula>
    </cfRule>
  </conditionalFormatting>
  <conditionalFormatting sqref="Z2:Z3">
    <cfRule type="expression" dxfId="1" priority="1">
      <formula>Z2="VALIDO"</formula>
    </cfRule>
    <cfRule type="expression" dxfId="0" priority="2">
      <formula>Z2="INVALIDO"</formula>
    </cfRule>
  </conditionalFormatting>
  <dataValidations count="2">
    <dataValidation type="textLength" allowBlank="1" showInputMessage="1" showErrorMessage="1" sqref="A4" xr:uid="{732082CB-EA37-4E8C-A733-ACED6D4612B7}">
      <formula1>14</formula1>
      <formula2>14</formula2>
    </dataValidation>
    <dataValidation type="textLength" showInputMessage="1" errorTitle="Cartão de crédito" error="O número de cartão de crédito é composto por 16 dígitos!" sqref="A2" xr:uid="{677A1B1B-62E2-40CA-9793-3795D5CE83C9}">
      <formula1>16</formula1>
      <formula2>16</formula2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A471-9525-4706-A970-21EE107CED6F}">
  <dimension ref="A1:D13"/>
  <sheetViews>
    <sheetView workbookViewId="0">
      <selection activeCell="C16" sqref="C16"/>
    </sheetView>
  </sheetViews>
  <sheetFormatPr defaultRowHeight="15" x14ac:dyDescent="0.25"/>
  <cols>
    <col min="1" max="1" width="4.85546875" customWidth="1"/>
    <col min="2" max="3" width="17.28515625" customWidth="1"/>
    <col min="4" max="4" width="4.85546875" customWidth="1"/>
  </cols>
  <sheetData>
    <row r="1" spans="1:4" x14ac:dyDescent="0.25">
      <c r="A1" s="77" t="s">
        <v>49</v>
      </c>
      <c r="B1" s="77"/>
      <c r="C1" s="77"/>
      <c r="D1" s="61"/>
    </row>
    <row r="2" spans="1:4" x14ac:dyDescent="0.25">
      <c r="A2" s="78" t="s">
        <v>129</v>
      </c>
      <c r="B2" s="78"/>
      <c r="C2" s="78"/>
      <c r="D2" s="61"/>
    </row>
    <row r="3" spans="1:4" x14ac:dyDescent="0.25">
      <c r="A3" s="61"/>
      <c r="B3" s="61"/>
      <c r="C3" s="61"/>
      <c r="D3" s="61"/>
    </row>
    <row r="4" spans="1:4" x14ac:dyDescent="0.25">
      <c r="B4" s="10" t="s">
        <v>42</v>
      </c>
      <c r="C4" s="12" t="s">
        <v>43</v>
      </c>
    </row>
    <row r="5" spans="1:4" x14ac:dyDescent="0.25">
      <c r="B5" s="11" t="s">
        <v>5</v>
      </c>
      <c r="C5" s="12">
        <v>2229</v>
      </c>
    </row>
    <row r="6" spans="1:4" x14ac:dyDescent="0.25">
      <c r="B6" s="11" t="s">
        <v>19</v>
      </c>
      <c r="C6" s="12">
        <v>270</v>
      </c>
    </row>
    <row r="7" spans="1:4" x14ac:dyDescent="0.25">
      <c r="B7" s="11" t="s">
        <v>21</v>
      </c>
      <c r="C7" s="12">
        <v>269</v>
      </c>
    </row>
    <row r="8" spans="1:4" x14ac:dyDescent="0.25">
      <c r="B8" s="11" t="s">
        <v>40</v>
      </c>
      <c r="C8" s="12">
        <v>1899</v>
      </c>
    </row>
    <row r="9" spans="1:4" x14ac:dyDescent="0.25">
      <c r="B9" s="11" t="s">
        <v>7</v>
      </c>
      <c r="C9" s="12">
        <v>1258</v>
      </c>
    </row>
    <row r="10" spans="1:4" x14ac:dyDescent="0.25">
      <c r="B10" s="11" t="s">
        <v>11</v>
      </c>
      <c r="C10" s="12">
        <v>295</v>
      </c>
    </row>
    <row r="11" spans="1:4" x14ac:dyDescent="0.25">
      <c r="B11" s="11" t="s">
        <v>45</v>
      </c>
      <c r="C11" s="12">
        <v>1255</v>
      </c>
    </row>
    <row r="12" spans="1:4" x14ac:dyDescent="0.25">
      <c r="B12" s="11" t="s">
        <v>48</v>
      </c>
      <c r="C12" s="12">
        <v>1532</v>
      </c>
    </row>
    <row r="13" spans="1:4" x14ac:dyDescent="0.25">
      <c r="B13" s="11" t="s">
        <v>41</v>
      </c>
      <c r="C13" s="12">
        <v>9007</v>
      </c>
    </row>
  </sheetData>
  <mergeCells count="3">
    <mergeCell ref="A2:D2"/>
    <mergeCell ref="A3:D3"/>
    <mergeCell ref="A1:D1"/>
  </mergeCells>
  <pageMargins left="0.511811024" right="0.511811024" top="0.78740157499999996" bottom="0.78740157499999996" header="0.31496062000000002" footer="0.31496062000000002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B13BAF-4826-42B6-A93A-E2377D7F1D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3</vt:i4>
      </vt:variant>
    </vt:vector>
  </HeadingPairs>
  <TitlesOfParts>
    <vt:vector size="16" baseType="lpstr">
      <vt:lpstr>1.A Planejamento</vt:lpstr>
      <vt:lpstr>1.B. GUT</vt:lpstr>
      <vt:lpstr>1.C.VendasMes</vt:lpstr>
      <vt:lpstr>1.C.Clientes</vt:lpstr>
      <vt:lpstr>1.C.Listas</vt:lpstr>
      <vt:lpstr>2.CPF</vt:lpstr>
      <vt:lpstr>3.CNPJ</vt:lpstr>
      <vt:lpstr>4</vt:lpstr>
      <vt:lpstr>5.RG</vt:lpstr>
      <vt:lpstr>6.TITULO</vt:lpstr>
      <vt:lpstr>7. CARTAO</vt:lpstr>
      <vt:lpstr>8. PROCESSO</vt:lpstr>
      <vt:lpstr>9. DADOS</vt:lpstr>
      <vt:lpstr>Lojas</vt:lpstr>
      <vt:lpstr>Produtos</vt:lpstr>
      <vt:lpstr>Sexo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2019-11-19T20:47:08Z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698bad02-7f77-49fb-bce1-cfcf518feff8</vt:lpwstr>
  </property>
</Properties>
</file>